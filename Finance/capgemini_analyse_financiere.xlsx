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s" sheetId="1" state="visible" r:id="rId3"/>
    <sheet name="Synthese" sheetId="2" state="visible" r:id="rId4"/>
    <sheet name="Compte de resultat" sheetId="3" state="visible" r:id="rId5"/>
    <sheet name="Bilan" sheetId="4" state="visible" r:id="rId6"/>
    <sheet name="Flux de tresorerie" sheetId="5" state="visible" r:id="rId7"/>
    <sheet name="Ratios financi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<sst xmlns="http://schemas.openxmlformats.org/spreadsheetml/2006/main" count="190" uniqueCount="159">
  <si>
    <t xml:space="preserve">ANALYSE FINANCIERE - CAPGEMINI SE</t>
  </si>
  <si>
    <t xml:space="preserve">Exercices 2022 - 2023 - 2024 (comptes consolides IFRS, en millions d'euros)</t>
  </si>
  <si>
    <t xml:space="preserve">Societe analysee</t>
  </si>
  <si>
    <t xml:space="preserve">Capgemini SE - societe europeenne, secteur conseil / services IT, cotee sur Euronext Paris (CAP)</t>
  </si>
  <si>
    <t xml:space="preserve">Devise</t>
  </si>
  <si>
    <t xml:space="preserve">Millions d'euros (M EUR), sauf indication contraire</t>
  </si>
  <si>
    <t xml:space="preserve">Referentiel comptable</t>
  </si>
  <si>
    <t xml:space="preserve">IFRS tel qu'adopte par l'Union europeenne</t>
  </si>
  <si>
    <t xml:space="preserve">Document / donnee</t>
  </si>
  <si>
    <t xml:space="preserve">Lien source</t>
  </si>
  <si>
    <t xml:space="preserve">Compte de resultat consolide 2023-2024</t>
  </si>
  <si>
    <t xml:space="preserve">https://investors.capgemini.com/file/11729?download=1  (Etats financiers consolides au 31/12/2024, section 5.2.1)</t>
  </si>
  <si>
    <t xml:space="preserve">Etat consolide de la situation financiere 2023-2024</t>
  </si>
  <si>
    <t xml:space="preserve">https://investors.capgemini.com/file/11729?download=1  (section 5.2.3)</t>
  </si>
  <si>
    <t xml:space="preserve">Tableau des flux de tresorerie consolides 2023-2024</t>
  </si>
  <si>
    <t xml:space="preserve">https://investors.capgemini.com/file/11729?download=1  (section 5.2.4)</t>
  </si>
  <si>
    <t xml:space="preserve">Endettement net 2023-2024</t>
  </si>
  <si>
    <t xml:space="preserve">https://investors.capgemini.com/file/11729?download=1  (Note 22)</t>
  </si>
  <si>
    <t xml:space="preserve">Compte de resultat consolide 2022 (comparatif 2021)</t>
  </si>
  <si>
    <t xml:space="preserve">https://investors.capgemini.com/fr/file/19316?download=1  (page 9)</t>
  </si>
  <si>
    <t xml:space="preserve">Etat de la situation financiere 2022 (comparatif 2021)</t>
  </si>
  <si>
    <t xml:space="preserve">https://investors.capgemini.com/fr/file/19316?download=1  (page 11)</t>
  </si>
  <si>
    <t xml:space="preserve">Tableau de flux de tresorerie 2022</t>
  </si>
  <si>
    <t xml:space="preserve">https://investors.capgemini.com/fr/file/19316?download=1  (page 12)</t>
  </si>
  <si>
    <t xml:space="preserve">Endettement net 2022 / Principales donnees financieres 2018-2022</t>
  </si>
  <si>
    <t xml:space="preserve">https://investors.capgemini.com/fr/file/19316?download=1  (page 3, Note 22)</t>
  </si>
  <si>
    <t xml:space="preserve">Limites et hypotheses</t>
  </si>
  <si>
    <t xml:space="preserve">- Les chiffres proviennent des comptes CONSOLIDES du groupe Capgemini (perimetre mondial), pas des seuls comptes sociaux de Capgemini SE.</t>
  </si>
  <si>
    <t xml:space="preserve">- Tous les montants sont arrondis au million d'euros le plus proche, tels que publies par la societe.</t>
  </si>
  <si>
    <t xml:space="preserve">- Cette analyse est construite a des fins d'entrainement / illustration methodologique et ne constitue pas un conseil d'investissement.</t>
  </si>
  <si>
    <t xml:space="preserve">SYNTHESE - CAPGEMINI SE (2022-2024)</t>
  </si>
  <si>
    <t xml:space="preserve">Indicateur cle</t>
  </si>
  <si>
    <t xml:space="preserve">2022</t>
  </si>
  <si>
    <t xml:space="preserve">2023</t>
  </si>
  <si>
    <t xml:space="preserve">2024</t>
  </si>
  <si>
    <t xml:space="preserve">Chiffre d'affaires (M EUR)</t>
  </si>
  <si>
    <t xml:space="preserve">Marge operationnelle (M EUR)</t>
  </si>
  <si>
    <t xml:space="preserve">Resultat net part du Groupe (M EUR)</t>
  </si>
  <si>
    <t xml:space="preserve">Marge operationnelle (%)</t>
  </si>
  <si>
    <t xml:space="preserve">Marge nette (%)</t>
  </si>
  <si>
    <t xml:space="preserve">ROE part Groupe (%)</t>
  </si>
  <si>
    <t xml:space="preserve">Endettement net (M EUR)</t>
  </si>
  <si>
    <t xml:space="preserve">Endettement net / EBITDA</t>
  </si>
  <si>
    <t xml:space="preserve">Ratio de liquidite generale</t>
  </si>
  <si>
    <t xml:space="preserve">Autonomie financiere (%)</t>
  </si>
  <si>
    <t xml:space="preserve">DSO - delai clients (jours)</t>
  </si>
  <si>
    <t xml:space="preserve">Tableau de bord alimente par formules depuis les feuilles Compte de resultat / Bilan / Flux de tresorerie / Ratios financiers.</t>
  </si>
  <si>
    <t xml:space="preserve">COMPTE DE RESULTAT CONSOLIDÉ</t>
  </si>
  <si>
    <t xml:space="preserve">En millions d'euros</t>
  </si>
  <si>
    <t xml:space="preserve">Rubrique</t>
  </si>
  <si>
    <t xml:space="preserve">Var. 23/22</t>
  </si>
  <si>
    <t xml:space="preserve">Var. 24/23</t>
  </si>
  <si>
    <t xml:space="preserve">Chiffre d'affaires</t>
  </si>
  <si>
    <t xml:space="preserve">Couts des services rendus</t>
  </si>
  <si>
    <t xml:space="preserve">Frais commerciaux</t>
  </si>
  <si>
    <t xml:space="preserve">Frais generaux et administratifs</t>
  </si>
  <si>
    <t xml:space="preserve">Charges operationnelles</t>
  </si>
  <si>
    <t xml:space="preserve">Marge operationnelle</t>
  </si>
  <si>
    <t xml:space="preserve">Autres produits et charges operationnels</t>
  </si>
  <si>
    <t xml:space="preserve">Resultat d'exploitation</t>
  </si>
  <si>
    <t xml:space="preserve">Resultat financier net</t>
  </si>
  <si>
    <t xml:space="preserve">Charge d'impot</t>
  </si>
  <si>
    <t xml:space="preserve">Resultat des entreprises associees</t>
  </si>
  <si>
    <t xml:space="preserve">RESULTAT NET</t>
  </si>
  <si>
    <t xml:space="preserve">  dont part du Groupe</t>
  </si>
  <si>
    <t xml:space="preserve">  dont interets minoritaires</t>
  </si>
  <si>
    <t xml:space="preserve">% DU CHIFFRE D'AFFAIRES</t>
  </si>
  <si>
    <t xml:space="preserve">BILAN CONSOLIDE (ETAT DE LA SITUATION FINANCIERE)</t>
  </si>
  <si>
    <t xml:space="preserve">En millions d'euros, au 31 decembre</t>
  </si>
  <si>
    <t xml:space="preserve">ACTIF</t>
  </si>
  <si>
    <t xml:space="preserve">Ecarts d'acquisition (goodwill)</t>
  </si>
  <si>
    <t xml:space="preserve">Immobilisations incorporelles</t>
  </si>
  <si>
    <t xml:space="preserve">Immobilisations corporelles</t>
  </si>
  <si>
    <t xml:space="preserve">Droits d'utilisation (contrats de location)</t>
  </si>
  <si>
    <t xml:space="preserve">Impots differes actifs</t>
  </si>
  <si>
    <t xml:space="preserve">Autres actifs non courants</t>
  </si>
  <si>
    <t xml:space="preserve">TOTAL ACTIF NON COURANT</t>
  </si>
  <si>
    <t xml:space="preserve">Couts des contrats</t>
  </si>
  <si>
    <t xml:space="preserve">Actifs sur contrats</t>
  </si>
  <si>
    <t xml:space="preserve">Creances clients</t>
  </si>
  <si>
    <t xml:space="preserve">Creances d'impot courantes</t>
  </si>
  <si>
    <t xml:space="preserve">Autres actifs courants</t>
  </si>
  <si>
    <t xml:space="preserve">Actifs de gestion de tresorerie</t>
  </si>
  <si>
    <t xml:space="preserve"/>
  </si>
  <si>
    <t xml:space="preserve">Tresorerie et equivalents</t>
  </si>
  <si>
    <t xml:space="preserve">TOTAL ACTIF COURANT</t>
  </si>
  <si>
    <t xml:space="preserve">TOTAL ACTIF</t>
  </si>
  <si>
    <t xml:space="preserve">PASSIF (CAPITAUX PROPRES ET DETTES)</t>
  </si>
  <si>
    <t xml:space="preserve">Capital social</t>
  </si>
  <si>
    <t xml:space="preserve">Primes d'emission et d'apport</t>
  </si>
  <si>
    <t xml:space="preserve">Reserves et report a nouveau</t>
  </si>
  <si>
    <t xml:space="preserve">Resultat net de l'exercice</t>
  </si>
  <si>
    <t xml:space="preserve">Capitaux propres part du Groupe</t>
  </si>
  <si>
    <t xml:space="preserve">Interets minoritaires</t>
  </si>
  <si>
    <t xml:space="preserve">TOTAL CAPITAUX PROPRES</t>
  </si>
  <si>
    <t xml:space="preserve">Dettes financieres long terme</t>
  </si>
  <si>
    <t xml:space="preserve">Impots differes passifs</t>
  </si>
  <si>
    <t xml:space="preserve">Provisions pour retraites</t>
  </si>
  <si>
    <t xml:space="preserve">Provisions non courantes</t>
  </si>
  <si>
    <t xml:space="preserve">Dettes de loyers non courantes</t>
  </si>
  <si>
    <t xml:space="preserve">Autres dettes non courantes</t>
  </si>
  <si>
    <t xml:space="preserve">TOTAL PASSIF NON COURANT</t>
  </si>
  <si>
    <t xml:space="preserve">Dettes financieres CT et decouverts</t>
  </si>
  <si>
    <t xml:space="preserve">Dettes fournisseurs et comptes rattaches</t>
  </si>
  <si>
    <t xml:space="preserve">Passifs sur contrats</t>
  </si>
  <si>
    <t xml:space="preserve">Provisions courantes</t>
  </si>
  <si>
    <t xml:space="preserve">Dettes d'impot courantes</t>
  </si>
  <si>
    <t xml:space="preserve">Dettes de loyers courantes</t>
  </si>
  <si>
    <t xml:space="preserve">Autres dettes courantes</t>
  </si>
  <si>
    <t xml:space="preserve">TOTAL PASSIF COURANT</t>
  </si>
  <si>
    <t xml:space="preserve">TOTAL CAPITAUX PROPRES ET PASSIF</t>
  </si>
  <si>
    <t xml:space="preserve">Source : Rapports annuels consolides Capgemini SE (normes IFRS), investors.capgemini.com - Etats consolides de la situation financiere et Comptes de resultat consolides, exercices clos au 31/12.</t>
  </si>
  <si>
    <t xml:space="preserve">TABLEAU DES FLUX DE TRESORERIE CONSOLIDES (SYNTHESE)</t>
  </si>
  <si>
    <t xml:space="preserve">Resultat net</t>
  </si>
  <si>
    <t xml:space="preserve">Dotations aux amortissements et depreciations</t>
  </si>
  <si>
    <t xml:space="preserve">FLUX DE TRESORERIE LIES A L'ACTIVITE</t>
  </si>
  <si>
    <t xml:space="preserve">FLUX DE TRESORERIE LIES AUX OPERATIONS D'INVESTISSEMENT</t>
  </si>
  <si>
    <t xml:space="preserve">  dont acquisitions d'immobilisations (nettes)</t>
  </si>
  <si>
    <t xml:space="preserve">  dont acquisitions d'entreprises nettes de tresorerie</t>
  </si>
  <si>
    <t xml:space="preserve">FLUX DE TRESORERIE LIES AUX OPERATIONS DE FINANCEMENT</t>
  </si>
  <si>
    <t xml:space="preserve">  dont dividendes verses</t>
  </si>
  <si>
    <t xml:space="preserve">VARIATION DE LA TRESORERIE</t>
  </si>
  <si>
    <t xml:space="preserve">Endettement net en fin d'exercice (Note 22)</t>
  </si>
  <si>
    <t xml:space="preserve">EBITDA reconstitue (Marge operationnelle + Dotations amort.)</t>
  </si>
  <si>
    <t xml:space="preserve">RATIOS FINANCIERS</t>
  </si>
  <si>
    <t xml:space="preserve">Calcules a partir des feuilles Compte de resultat, Bilan et Flux de tresorerie</t>
  </si>
  <si>
    <t xml:space="preserve">Ratio</t>
  </si>
  <si>
    <t xml:space="preserve">Mode de calcul</t>
  </si>
  <si>
    <t xml:space="preserve">1. RENTABILITE</t>
  </si>
  <si>
    <t xml:space="preserve">Marge operationnelle / Chiffre d'affaires</t>
  </si>
  <si>
    <t xml:space="preserve">Marge nette</t>
  </si>
  <si>
    <t xml:space="preserve">Resultat net / Chiffre d'affaires</t>
  </si>
  <si>
    <t xml:space="preserve">ROE (rentabilite des capitaux propres, par Groupe)</t>
  </si>
  <si>
    <t xml:space="preserve">Resultat net part Groupe / Capitaux propres part Groupe (fin d'exercice)</t>
  </si>
  <si>
    <t xml:space="preserve">ROA (rentabilite des actifs)</t>
  </si>
  <si>
    <t xml:space="preserve">Resultat net / Total actif (fin d'exercice)</t>
  </si>
  <si>
    <t xml:space="preserve">2. STRUCTURE FINANCIERE ET SOLVABILITE</t>
  </si>
  <si>
    <t xml:space="preserve">Autonomie financiere (capitaux propres / total bilan)</t>
  </si>
  <si>
    <t xml:space="preserve">Total capitaux propres / Total actif</t>
  </si>
  <si>
    <t xml:space="preserve">Gearing (endettement net / capitaux propres)</t>
  </si>
  <si>
    <t xml:space="preserve">Endettement net / Total capitaux propres</t>
  </si>
  <si>
    <t xml:space="preserve">Endettement net / EBITDA reconstitue</t>
  </si>
  <si>
    <t xml:space="preserve">Rappel - Note 22 des rapports annuels</t>
  </si>
  <si>
    <t xml:space="preserve">3. LIQUIDITE</t>
  </si>
  <si>
    <t xml:space="preserve">Ratio de liquidite generale (actif courant / passif courant)</t>
  </si>
  <si>
    <t xml:space="preserve">Total actif courant / Total passif courant</t>
  </si>
  <si>
    <t xml:space="preserve">Fonds de roulement net (M EUR)</t>
  </si>
  <si>
    <t xml:space="preserve">Actif courant - Passif courant</t>
  </si>
  <si>
    <t xml:space="preserve">4. GESTION / EFFICACITE OPERATIONNELLE</t>
  </si>
  <si>
    <t xml:space="preserve">Delai de recouvrement clients - DSO (jours)</t>
  </si>
  <si>
    <t xml:space="preserve">Creances clients / Chiffre d'affaires x 365</t>
  </si>
  <si>
    <t xml:space="preserve">Delai de paiement fournisseurs - DPO indicatif (jours)</t>
  </si>
  <si>
    <t xml:space="preserve">Dettes fournisseurs / Chiffre d'affaires x 365 (proxy, faute de detail achats)</t>
  </si>
  <si>
    <t xml:space="preserve">5. CROISSANCE</t>
  </si>
  <si>
    <t xml:space="preserve">Croissance du chiffre d'affaires</t>
  </si>
  <si>
    <t xml:space="preserve">Variation annuelle du CA</t>
  </si>
  <si>
    <t xml:space="preserve">TCAM du CA 2022-2024 (2 ans)</t>
  </si>
  <si>
    <t xml:space="preserve">Taux de croissance annuel moyen sur la periode</t>
  </si>
  <si>
    <t xml:space="preserve">Ces ratios sont calcules automatiquement par formules a partir des feuilles Compte de resultat, Bilan et Flux de tresorerie : toute correction sur ces feuilles se repercute ici.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</si>
</sst>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0.00\x"/>
    <numFmt numFmtId="168" formatCode="0.0&quot; j&quot;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563C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Arial"/>
      <family val="0"/>
    </font>
    <font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1"/>
      <color rgb="FFFFFFFF"/>
      <name val="Arial"/>
      <family val="0"/>
      <charset val="1"/>
    </font>
    <font>
      <vertAlign val="subscript"/>
      <sz val="11"/>
      <color theme="1"/>
      <name val="Calibr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1"/>
      <color rgb="FF000000"/>
      <name val="Calibri"/>
      <family val="2"/>
      <charset val="1"/>
    </font>
    <font>
      <i val="true"/>
      <sz val="8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8" fillId="3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" fillId="3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2F2F2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878787"/>
      <rgbColor rgb="FF003366"/>
      <rgbColor rgb="FF4F81BD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fr-FR" sz="1300" b="0" u="none" strike="noStrike">
                <a:uFillTx/>
                <a:latin typeface="Arial"/>
              </a:defRPr>
            </a:pPr>
            <a:r>
              <a:rPr lang="fr-FR" sz="1800" b="1" u="none" strike="noStrike">
                <a:solidFill>
                  <a:srgbClr val="000000"/>
                </a:solidFill>
                <a:uFillTx/>
                <a:latin typeface="Calibri"/>
              </a:rPr>
              <a:t>Chiffre d'affaires et marge operationnelle (M EUR)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"Chiffre d'affaires"</c:f>
              <c:strCache>
                <c:ptCount val="1"/>
                <c:pt idx="0">
                  <c:v>Chiffre d'affaires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fr-FR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Synthese!$B$3:$D$3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Synthese!$B$4:$D$4</c:f>
              <c:numCache>
                <c:formatCode>#,##0;\(#,##0\);\-</c:formatCode>
                <c:ptCount val="3"/>
                <c:pt idx="0">
                  <c:v>21995</c:v>
                </c:pt>
                <c:pt idx="1">
                  <c:v>22522</c:v>
                </c:pt>
                <c:pt idx="2">
                  <c:v>22096</c:v>
                </c:pt>
              </c:numCache>
            </c:numRef>
          </c:val>
        </c:ser>
        <c:ser>
          <c:idx val="1"/>
          <c:order val="1"/>
          <c:tx>
            <c:strRef>
              <c:f>"Marge operationnelle"</c:f>
              <c:strCache>
                <c:ptCount val="1"/>
                <c:pt idx="0">
                  <c:v>Marge operationnelle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fr-FR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Synthese!$B$3:$D$3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Synthese!$B$5:$D$5</c:f>
              <c:numCache>
                <c:formatCode>#,##0;\(#,##0\);\-</c:formatCode>
                <c:ptCount val="3"/>
                <c:pt idx="0">
                  <c:v>2867</c:v>
                </c:pt>
                <c:pt idx="1">
                  <c:v>2991</c:v>
                </c:pt>
                <c:pt idx="2">
                  <c:v>2934</c:v>
                </c:pt>
              </c:numCache>
            </c:numRef>
          </c:val>
        </c:ser>
        <c:gapWidth val="150"/>
        <c:overlap val="0"/>
        <c:axId val="53925748"/>
        <c:axId val="70687717"/>
      </c:barChart>
      <c:catAx>
        <c:axId val="539257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fr-FR" sz="1300" b="0" u="none" strike="noStrike">
                    <a:uFillTx/>
                    <a:latin typeface="Arial"/>
                  </a:defRPr>
                </a:pPr>
                <a:r>
                  <a:rPr lang="fr-F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Exercice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fr-FR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687717"/>
        <c:crosses val="autoZero"/>
        <c:auto val="1"/>
        <c:lblAlgn val="ctr"/>
        <c:lblOffset val="100"/>
        <c:noMultiLvlLbl val="0"/>
      </c:catAx>
      <c:valAx>
        <c:axId val="706877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300" b="0" u="none" strike="noStrike">
                    <a:uFillTx/>
                    <a:latin typeface="Arial"/>
                  </a:defRPr>
                </a:pPr>
                <a:r>
                  <a:rPr lang="fr-F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 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fr-FR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9257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fr-FR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fr-FR" sz="1300" b="0" u="none" strike="noStrike">
                <a:uFillTx/>
                <a:latin typeface="Arial"/>
              </a:defRPr>
            </a:pPr>
            <a:r>
              <a:rPr lang="fr-FR" sz="1800" b="1" u="none" strike="noStrike">
                <a:solidFill>
                  <a:srgbClr val="000000"/>
                </a:solidFill>
                <a:uFillTx/>
                <a:latin typeface="Calibri"/>
              </a:rPr>
              <a:t>Rentabilite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"Marge operationnelle %"</c:f>
              <c:strCache>
                <c:ptCount val="1"/>
                <c:pt idx="0">
                  <c:v>Marge operationnelle 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lang="fr-FR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Synthese!$B$3:$D$3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Synthese!$B$7:$D$7</c:f>
              <c:numCache>
                <c:formatCode>0.0%;\(0.0%\);\-</c:formatCode>
                <c:ptCount val="3"/>
                <c:pt idx="0">
                  <c:v>0.130347806319618</c:v>
                </c:pt>
                <c:pt idx="1">
                  <c:v>0.13280348104076</c:v>
                </c:pt>
                <c:pt idx="2">
                  <c:v>0.132784214337437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"Marge nette %"</c:f>
              <c:strCache>
                <c:ptCount val="1"/>
                <c:pt idx="0">
                  <c:v>Marge nette 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lang="fr-FR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Synthese!$B$3:$D$3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Synthese!$B$8:$D$8</c:f>
              <c:numCache>
                <c:formatCode>0.0%;\(0.0%\);\-</c:formatCode>
                <c:ptCount val="3"/>
                <c:pt idx="0">
                  <c:v>0.070470561491248</c:v>
                </c:pt>
                <c:pt idx="1">
                  <c:v>0.0740609182133026</c:v>
                </c:pt>
                <c:pt idx="2">
                  <c:v>0.0758960897900072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"ROE %"</c:f>
              <c:strCache>
                <c:ptCount val="1"/>
                <c:pt idx="0">
                  <c:v>ROE 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lang="fr-FR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Synthese!$B$3:$D$3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Synthese!$B$9:$D$9</c:f>
              <c:numCache>
                <c:formatCode>0.0%;\(0.0%\);\-</c:formatCode>
                <c:ptCount val="3"/>
                <c:pt idx="0">
                  <c:v>0.159041842294644</c:v>
                </c:pt>
                <c:pt idx="1">
                  <c:v>0.159077864932083</c:v>
                </c:pt>
                <c:pt idx="2">
                  <c:v>0.141910828025478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369589"/>
        <c:axId val="49503358"/>
      </c:lineChart>
      <c:catAx>
        <c:axId val="923695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fr-FR" sz="1300" b="0" u="none" strike="noStrike">
                    <a:uFillTx/>
                    <a:latin typeface="Arial"/>
                  </a:defRPr>
                </a:pPr>
                <a:r>
                  <a:rPr lang="fr-F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Exercice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fr-FR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503358"/>
        <c:crosses val="autoZero"/>
        <c:auto val="1"/>
        <c:lblAlgn val="ctr"/>
        <c:lblOffset val="100"/>
        <c:noMultiLvlLbl val="0"/>
      </c:catAx>
      <c:valAx>
        <c:axId val="495033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300" b="0" u="none" strike="noStrike">
                    <a:uFillTx/>
                    <a:latin typeface="Arial"/>
                  </a:defRPr>
                </a:pPr>
                <a:r>
                  <a:rPr lang="fr-F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fr-FR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3695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fr-FR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10</xdr:col>
      <xdr:colOff>431280</xdr:colOff>
      <xdr:row>16</xdr:row>
      <xdr:rowOff>181800</xdr:rowOff>
    </xdr:to>
    <xdr:graphicFrame>
      <xdr:nvGraphicFramePr>
        <xdr:cNvPr id="1" name="Chart 1"/>
        <xdr:cNvGraphicFramePr/>
      </xdr:nvGraphicFramePr>
      <xdr:xfrm>
        <a:off x="5709240" y="380880"/>
        <a:ext cx="6496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160560</xdr:rowOff>
    </xdr:from>
    <xdr:to>
      <xdr:col>10</xdr:col>
      <xdr:colOff>431280</xdr:colOff>
      <xdr:row>33</xdr:row>
      <xdr:rowOff>182160</xdr:rowOff>
    </xdr:to>
    <xdr:graphicFrame>
      <xdr:nvGraphicFramePr>
        <xdr:cNvPr id="2" name="Chart 2"/>
        <xdr:cNvGraphicFramePr/>
      </xdr:nvGraphicFramePr>
      <xdr:xfrm>
        <a:off x="5709240" y="3619440"/>
        <a:ext cx="6496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1" activeCellId="0" sqref="A21"/>
    </sheetView>
  </sheetViews>
  <sheetFormatPr defaultColWidth="8.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9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8" customFormat="false" ht="15" hidden="false" customHeight="false" outlineLevel="0" collapsed="false">
      <c r="A8" s="6" t="s">
        <v>8</v>
      </c>
      <c r="B8" s="6" t="s">
        <v>9</v>
      </c>
    </row>
    <row r="9" customFormat="false" ht="15" hidden="false" customHeight="false" outlineLevel="0" collapsed="false">
      <c r="A9" s="7" t="s">
        <v>10</v>
      </c>
      <c r="B9" s="8" t="s">
        <v>11</v>
      </c>
    </row>
    <row r="10" customFormat="false" ht="15" hidden="false" customHeight="false" outlineLevel="0" collapsed="false">
      <c r="A10" s="7" t="s">
        <v>12</v>
      </c>
      <c r="B10" s="8" t="s">
        <v>13</v>
      </c>
    </row>
    <row r="11" customFormat="false" ht="15" hidden="false" customHeight="false" outlineLevel="0" collapsed="false">
      <c r="A11" s="7" t="s">
        <v>14</v>
      </c>
      <c r="B11" s="8" t="s">
        <v>15</v>
      </c>
    </row>
    <row r="12" customFormat="false" ht="15" hidden="false" customHeight="false" outlineLevel="0" collapsed="false">
      <c r="A12" s="7" t="s">
        <v>16</v>
      </c>
      <c r="B12" s="8" t="s">
        <v>17</v>
      </c>
    </row>
    <row r="13" customFormat="false" ht="15" hidden="false" customHeight="false" outlineLevel="0" collapsed="false">
      <c r="A13" s="7" t="s">
        <v>18</v>
      </c>
      <c r="B13" s="8" t="s">
        <v>19</v>
      </c>
    </row>
    <row r="14" customFormat="false" ht="15" hidden="false" customHeight="false" outlineLevel="0" collapsed="false">
      <c r="A14" s="7" t="s">
        <v>20</v>
      </c>
      <c r="B14" s="8" t="s">
        <v>21</v>
      </c>
    </row>
    <row r="15" customFormat="false" ht="15" hidden="false" customHeight="false" outlineLevel="0" collapsed="false">
      <c r="A15" s="7" t="s">
        <v>22</v>
      </c>
      <c r="B15" s="8" t="s">
        <v>23</v>
      </c>
    </row>
    <row r="16" customFormat="false" ht="15" hidden="false" customHeight="false" outlineLevel="0" collapsed="false">
      <c r="A16" s="7" t="s">
        <v>24</v>
      </c>
      <c r="B16" s="8" t="s">
        <v>25</v>
      </c>
    </row>
    <row r="18" customFormat="false" ht="15" hidden="false" customHeight="false" outlineLevel="0" collapsed="false">
      <c r="A18" s="4" t="s">
        <v>26</v>
      </c>
    </row>
    <row r="19" customFormat="false" ht="15" hidden="false" customHeight="false" outlineLevel="0" collapsed="false">
      <c r="A19" s="9" t="s">
        <v>27</v>
      </c>
      <c r="B19" s="9"/>
    </row>
    <row r="20" customFormat="false" ht="15" hidden="false" customHeight="false" outlineLevel="0" collapsed="false">
      <c r="A20" s="10" t="s">
        <v>28</v>
      </c>
      <c r="B20" s="10"/>
    </row>
    <row r="21" customFormat="false" ht="15" hidden="false" customHeight="false" outlineLevel="0" collapsed="false">
      <c r="A21" s="10" t="s">
        <v>29</v>
      </c>
      <c r="B21" s="10"/>
    </row>
    <row r="22" customFormat="false" ht="15" hidden="false" customHeight="false" outlineLevel="0" collapsed="false">
      <c r="A22" s="9"/>
      <c r="B22" s="9"/>
    </row>
    <row r="23" customFormat="false" ht="15" hidden="false" customHeight="false" outlineLevel="0" collapsed="false">
      <c r="A23" s="0"/>
      <c r="B23" s="0"/>
    </row>
  </sheetData>
  <mergeCells count="4">
    <mergeCell ref="A19:B19"/>
    <mergeCell ref="A20:B20"/>
    <mergeCell ref="A21:B21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3"/>
    <col collapsed="false" customWidth="true" hidden="false" outlineLevel="0" max="5" min="5" style="1" width="4"/>
    <col collapsed="false" customWidth="true" hidden="false" outlineLevel="0" max="7" min="6" style="1" width="30"/>
  </cols>
  <sheetData>
    <row r="1" customFormat="false" ht="17.35" hidden="false" customHeight="false" outlineLevel="0" collapsed="false">
      <c r="A1" s="11" t="s">
        <v>30</v>
      </c>
      <c r="B1" s="11"/>
      <c r="C1" s="11"/>
      <c r="D1" s="11"/>
    </row>
    <row r="3" customFormat="false" ht="15" hidden="false" customHeight="false" outlineLevel="0" collapsed="false">
      <c r="A3" s="6" t="s">
        <v>31</v>
      </c>
      <c r="B3" s="6" t="s">
        <v>32</v>
      </c>
      <c r="C3" s="6" t="s">
        <v>33</v>
      </c>
      <c r="D3" s="6" t="s">
        <v>34</v>
      </c>
    </row>
    <row r="4" customFormat="false" ht="15" hidden="false" customHeight="false" outlineLevel="0" collapsed="false">
      <c r="A4" s="7" t="s">
        <v>35</v>
      </c>
      <c r="B4" s="12" t="n">
        <f aca="false">'Compte de resultat'!B5</f>
        <v>21995</v>
      </c>
      <c r="C4" s="12" t="n">
        <f aca="false">'Compte de resultat'!C5</f>
        <v>22522</v>
      </c>
      <c r="D4" s="12" t="n">
        <f aca="false">'Compte de resultat'!D5</f>
        <v>22096</v>
      </c>
    </row>
    <row r="5" customFormat="false" ht="15" hidden="false" customHeight="false" outlineLevel="0" collapsed="false">
      <c r="A5" s="7" t="s">
        <v>36</v>
      </c>
      <c r="B5" s="12" t="n">
        <f aca="false">'Compte de resultat'!B10</f>
        <v>2867</v>
      </c>
      <c r="C5" s="12" t="n">
        <f aca="false">'Compte de resultat'!C10</f>
        <v>2991</v>
      </c>
      <c r="D5" s="12" t="n">
        <f aca="false">'Compte de resultat'!D10</f>
        <v>2934</v>
      </c>
    </row>
    <row r="6" customFormat="false" ht="15" hidden="false" customHeight="false" outlineLevel="0" collapsed="false">
      <c r="A6" s="7" t="s">
        <v>37</v>
      </c>
      <c r="B6" s="12" t="n">
        <f aca="false">'Compte de resultat'!B17</f>
        <v>1547</v>
      </c>
      <c r="C6" s="12" t="n">
        <f aca="false">'Compte de resultat'!C17</f>
        <v>1663</v>
      </c>
      <c r="D6" s="12" t="n">
        <f aca="false">'Compte de resultat'!D17</f>
        <v>1671</v>
      </c>
    </row>
    <row r="7" customFormat="false" ht="15" hidden="false" customHeight="false" outlineLevel="0" collapsed="false">
      <c r="A7" s="7" t="s">
        <v>38</v>
      </c>
      <c r="B7" s="13" t="n">
        <f aca="false">'Ratios financiers'!B6</f>
        <v>0.130347806319618</v>
      </c>
      <c r="C7" s="13" t="n">
        <f aca="false">'Ratios financiers'!C6</f>
        <v>0.13280348104076</v>
      </c>
      <c r="D7" s="13" t="n">
        <f aca="false">'Ratios financiers'!D6</f>
        <v>0.132784214337437</v>
      </c>
    </row>
    <row r="8" customFormat="false" ht="15" hidden="false" customHeight="false" outlineLevel="0" collapsed="false">
      <c r="A8" s="7" t="s">
        <v>39</v>
      </c>
      <c r="B8" s="13" t="n">
        <f aca="false">'Ratios financiers'!B7</f>
        <v>0.070470561491248</v>
      </c>
      <c r="C8" s="13" t="n">
        <f aca="false">'Ratios financiers'!C7</f>
        <v>0.0740609182133026</v>
      </c>
      <c r="D8" s="13" t="n">
        <f aca="false">'Ratios financiers'!D7</f>
        <v>0.0758960897900072</v>
      </c>
    </row>
    <row r="9" customFormat="false" ht="15" hidden="false" customHeight="false" outlineLevel="0" collapsed="false">
      <c r="A9" s="7" t="s">
        <v>40</v>
      </c>
      <c r="B9" s="13" t="n">
        <f aca="false">'Ratios financiers'!B8</f>
        <v>0.159041842294644</v>
      </c>
      <c r="C9" s="13" t="n">
        <f aca="false">'Ratios financiers'!C8</f>
        <v>0.159077864932083</v>
      </c>
      <c r="D9" s="13" t="n">
        <f aca="false">'Ratios financiers'!D8</f>
        <v>0.141910828025478</v>
      </c>
    </row>
    <row r="10" customFormat="false" ht="15" hidden="false" customHeight="false" outlineLevel="0" collapsed="false">
      <c r="A10" s="7" t="s">
        <v>41</v>
      </c>
      <c r="B10" s="12" t="n">
        <f aca="false">'Flux de tresorerie'!B14</f>
        <v>2566</v>
      </c>
      <c r="C10" s="12" t="n">
        <f aca="false">'Flux de tresorerie'!C14</f>
        <v>2047</v>
      </c>
      <c r="D10" s="12" t="n">
        <f aca="false">'Flux de tresorerie'!D14</f>
        <v>2107</v>
      </c>
    </row>
    <row r="11" customFormat="false" ht="15" hidden="false" customHeight="false" outlineLevel="0" collapsed="false">
      <c r="A11" s="7" t="s">
        <v>42</v>
      </c>
      <c r="B11" s="14" t="n">
        <f aca="false">'Ratios financiers'!B14</f>
        <v>0.715560513106525</v>
      </c>
      <c r="C11" s="14" t="n">
        <f aca="false">'Ratios financiers'!C14</f>
        <v>0.554592251422379</v>
      </c>
      <c r="D11" s="14" t="n">
        <f aca="false">'Ratios financiers'!D14</f>
        <v>0.582526956040918</v>
      </c>
    </row>
    <row r="12" customFormat="false" ht="15" hidden="false" customHeight="false" outlineLevel="0" collapsed="false">
      <c r="A12" s="7" t="s">
        <v>43</v>
      </c>
      <c r="B12" s="14" t="n">
        <f aca="false">'Ratios financiers'!B18</f>
        <v>1.28233106013639</v>
      </c>
      <c r="C12" s="14" t="n">
        <f aca="false">'Ratios financiers'!C18</f>
        <v>1.34418540488343</v>
      </c>
      <c r="D12" s="14" t="n">
        <f aca="false">'Ratios financiers'!D18</f>
        <v>1.20741989881956</v>
      </c>
    </row>
    <row r="13" customFormat="false" ht="15" hidden="false" customHeight="false" outlineLevel="0" collapsed="false">
      <c r="A13" s="7" t="s">
        <v>44</v>
      </c>
      <c r="B13" s="13" t="n">
        <f aca="false">'Ratios financiers'!B12</f>
        <v>0.382393343537815</v>
      </c>
      <c r="C13" s="13" t="n">
        <f aca="false">'Ratios financiers'!C12</f>
        <v>0.424008097165992</v>
      </c>
      <c r="D13" s="13" t="n">
        <f aca="false">'Ratios financiers'!D12</f>
        <v>0.459742790335152</v>
      </c>
    </row>
    <row r="14" customFormat="false" ht="15" hidden="false" customHeight="false" outlineLevel="0" collapsed="false">
      <c r="A14" s="7" t="s">
        <v>45</v>
      </c>
      <c r="B14" s="15" t="n">
        <f aca="false">'Ratios financiers'!B22</f>
        <v>14.5369402136849</v>
      </c>
      <c r="C14" s="15" t="n">
        <f aca="false">'Ratios financiers'!C22</f>
        <v>12.7706242784833</v>
      </c>
      <c r="D14" s="15" t="n">
        <f aca="false">'Ratios financiers'!D22</f>
        <v>12.4717143374366</v>
      </c>
    </row>
    <row r="17" customFormat="false" ht="15" hidden="false" customHeight="false" outlineLevel="0" collapsed="false">
      <c r="A17" s="16" t="s">
        <v>46</v>
      </c>
      <c r="B17" s="16"/>
      <c r="C17" s="16"/>
      <c r="D17" s="16"/>
    </row>
  </sheetData>
  <mergeCells count="2">
    <mergeCell ref="A1:D1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7" activeCellId="0" sqref="A27"/>
    </sheetView>
  </sheetViews>
  <sheetFormatPr defaultColWidth="8.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3"/>
    <col collapsed="false" customWidth="true" hidden="false" outlineLevel="0" max="6" min="5" style="1" width="12"/>
  </cols>
  <sheetData>
    <row r="1" customFormat="false" ht="17.35" hidden="false" customHeight="false" outlineLevel="0" collapsed="false">
      <c r="A1" s="11" t="s">
        <v>47</v>
      </c>
      <c r="B1" s="11"/>
      <c r="C1" s="11"/>
      <c r="D1" s="11"/>
      <c r="E1" s="11"/>
      <c r="F1" s="11"/>
    </row>
    <row r="2" customFormat="false" ht="15" hidden="false" customHeight="false" outlineLevel="0" collapsed="false">
      <c r="A2" s="17" t="s">
        <v>48</v>
      </c>
      <c r="B2" s="17"/>
      <c r="C2" s="17"/>
      <c r="D2" s="17"/>
      <c r="E2" s="17"/>
      <c r="F2" s="17"/>
    </row>
    <row r="4" customFormat="false" ht="15" hidden="false" customHeight="false" outlineLevel="0" collapsed="false">
      <c r="A4" s="6" t="s">
        <v>49</v>
      </c>
      <c r="B4" s="6" t="s">
        <v>32</v>
      </c>
      <c r="C4" s="6" t="s">
        <v>33</v>
      </c>
      <c r="D4" s="6" t="s">
        <v>34</v>
      </c>
      <c r="E4" s="6" t="s">
        <v>50</v>
      </c>
      <c r="F4" s="6" t="s">
        <v>51</v>
      </c>
    </row>
    <row r="5" customFormat="false" ht="15" hidden="false" customHeight="false" outlineLevel="0" collapsed="false">
      <c r="A5" s="7" t="s">
        <v>52</v>
      </c>
      <c r="B5" s="18" t="n">
        <v>21995</v>
      </c>
      <c r="C5" s="18" t="n">
        <v>22522</v>
      </c>
      <c r="D5" s="18" t="n">
        <v>22096</v>
      </c>
      <c r="E5" s="19" t="n">
        <f aca="false">IFERROR(C5/B5-1,"-")</f>
        <v>0.0239599909070243</v>
      </c>
      <c r="F5" s="19" t="n">
        <f aca="false">IFERROR(D5/C5-1,"-")</f>
        <v>-0.0189148388242607</v>
      </c>
    </row>
    <row r="6" customFormat="false" ht="15" hidden="false" customHeight="false" outlineLevel="0" collapsed="false">
      <c r="A6" s="20" t="s">
        <v>53</v>
      </c>
      <c r="B6" s="18" t="n">
        <v>-16163</v>
      </c>
      <c r="C6" s="18" t="n">
        <v>-16474</v>
      </c>
      <c r="D6" s="18" t="n">
        <v>-16044</v>
      </c>
      <c r="E6" s="19" t="n">
        <f aca="false">IFERROR(C6/B6-1,"-")</f>
        <v>0.0192414774484935</v>
      </c>
      <c r="F6" s="19" t="n">
        <f aca="false">IFERROR(D6/C6-1,"-")</f>
        <v>-0.0261017360689572</v>
      </c>
    </row>
    <row r="7" customFormat="false" ht="15" hidden="false" customHeight="false" outlineLevel="0" collapsed="false">
      <c r="A7" s="20" t="s">
        <v>54</v>
      </c>
      <c r="B7" s="18" t="n">
        <v>-1518</v>
      </c>
      <c r="C7" s="18" t="n">
        <v>-1598</v>
      </c>
      <c r="D7" s="18" t="n">
        <v>-1634</v>
      </c>
      <c r="E7" s="19" t="n">
        <f aca="false">IFERROR(C7/B7-1,"-")</f>
        <v>0.0527009222661397</v>
      </c>
      <c r="F7" s="19" t="n">
        <f aca="false">IFERROR(D7/C7-1,"-")</f>
        <v>0.0225281602002503</v>
      </c>
    </row>
    <row r="8" customFormat="false" ht="15" hidden="false" customHeight="false" outlineLevel="0" collapsed="false">
      <c r="A8" s="20" t="s">
        <v>55</v>
      </c>
      <c r="B8" s="18" t="n">
        <v>-1447</v>
      </c>
      <c r="C8" s="18" t="n">
        <v>-1459</v>
      </c>
      <c r="D8" s="18" t="n">
        <v>-1484</v>
      </c>
      <c r="E8" s="19" t="n">
        <f aca="false">IFERROR(C8/B8-1,"-")</f>
        <v>0.00829302004146504</v>
      </c>
      <c r="F8" s="19" t="n">
        <f aca="false">IFERROR(D8/C8-1,"-")</f>
        <v>0.0171350239890336</v>
      </c>
    </row>
    <row r="9" customFormat="false" ht="15" hidden="false" customHeight="false" outlineLevel="0" collapsed="false">
      <c r="A9" s="21" t="s">
        <v>56</v>
      </c>
      <c r="B9" s="22" t="n">
        <v>-19128</v>
      </c>
      <c r="C9" s="22" t="n">
        <v>-19531</v>
      </c>
      <c r="D9" s="22" t="n">
        <v>-19162</v>
      </c>
      <c r="E9" s="23" t="n">
        <f aca="false">IFERROR(C9/B9-1,"-")</f>
        <v>0.021068590547888</v>
      </c>
      <c r="F9" s="23" t="n">
        <f aca="false">IFERROR(D9/C9-1,"-")</f>
        <v>-0.0188930418309354</v>
      </c>
    </row>
    <row r="10" customFormat="false" ht="15" hidden="false" customHeight="false" outlineLevel="0" collapsed="false">
      <c r="A10" s="21" t="s">
        <v>57</v>
      </c>
      <c r="B10" s="22" t="n">
        <v>2867</v>
      </c>
      <c r="C10" s="22" t="n">
        <v>2991</v>
      </c>
      <c r="D10" s="22" t="n">
        <v>2934</v>
      </c>
      <c r="E10" s="23" t="n">
        <f aca="false">IFERROR(C10/B10-1,"-")</f>
        <v>0.0432507847924659</v>
      </c>
      <c r="F10" s="23" t="n">
        <f aca="false">IFERROR(D10/C10-1,"-")</f>
        <v>-0.0190571715145437</v>
      </c>
    </row>
    <row r="11" customFormat="false" ht="15" hidden="false" customHeight="false" outlineLevel="0" collapsed="false">
      <c r="A11" s="7" t="s">
        <v>58</v>
      </c>
      <c r="B11" s="18" t="n">
        <v>-474</v>
      </c>
      <c r="C11" s="18" t="n">
        <v>-645</v>
      </c>
      <c r="D11" s="18" t="n">
        <v>-578</v>
      </c>
      <c r="E11" s="19" t="n">
        <f aca="false">IFERROR(C11/B11-1,"-")</f>
        <v>0.360759493670886</v>
      </c>
      <c r="F11" s="19" t="n">
        <f aca="false">IFERROR(D11/C11-1,"-")</f>
        <v>-0.103875968992248</v>
      </c>
    </row>
    <row r="12" customFormat="false" ht="15" hidden="false" customHeight="false" outlineLevel="0" collapsed="false">
      <c r="A12" s="21" t="s">
        <v>59</v>
      </c>
      <c r="B12" s="22" t="n">
        <v>2393</v>
      </c>
      <c r="C12" s="22" t="n">
        <v>2346</v>
      </c>
      <c r="D12" s="22" t="n">
        <v>2356</v>
      </c>
      <c r="E12" s="23" t="n">
        <f aca="false">IFERROR(C12/B12-1,"-")</f>
        <v>-0.0196406184705391</v>
      </c>
      <c r="F12" s="23" t="n">
        <f aca="false">IFERROR(D12/C12-1,"-")</f>
        <v>0.00426257459505552</v>
      </c>
    </row>
    <row r="13" customFormat="false" ht="15" hidden="false" customHeight="false" outlineLevel="0" collapsed="false">
      <c r="A13" s="7" t="s">
        <v>60</v>
      </c>
      <c r="B13" s="18" t="n">
        <v>-129</v>
      </c>
      <c r="C13" s="18" t="n">
        <v>-42</v>
      </c>
      <c r="D13" s="18" t="n">
        <v>13</v>
      </c>
      <c r="E13" s="19" t="n">
        <f aca="false">IFERROR(C13/B13-1,"-")</f>
        <v>-0.674418604651163</v>
      </c>
      <c r="F13" s="19" t="n">
        <f aca="false">IFERROR(D13/C13-1,"-")</f>
        <v>-1.30952380952381</v>
      </c>
    </row>
    <row r="14" customFormat="false" ht="15" hidden="false" customHeight="false" outlineLevel="0" collapsed="false">
      <c r="A14" s="7" t="s">
        <v>61</v>
      </c>
      <c r="B14" s="18" t="n">
        <v>-710</v>
      </c>
      <c r="C14" s="18" t="n">
        <v>-626</v>
      </c>
      <c r="D14" s="18" t="n">
        <v>-681</v>
      </c>
      <c r="E14" s="19" t="n">
        <f aca="false">IFERROR(C14/B14-1,"-")</f>
        <v>-0.11830985915493</v>
      </c>
      <c r="F14" s="19" t="n">
        <f aca="false">IFERROR(D14/C14-1,"-")</f>
        <v>0.0878594249201279</v>
      </c>
    </row>
    <row r="15" customFormat="false" ht="15" hidden="false" customHeight="false" outlineLevel="0" collapsed="false">
      <c r="A15" s="7" t="s">
        <v>62</v>
      </c>
      <c r="B15" s="18" t="n">
        <v>-4</v>
      </c>
      <c r="C15" s="18" t="n">
        <v>-10</v>
      </c>
      <c r="D15" s="18" t="n">
        <v>-11</v>
      </c>
      <c r="E15" s="19" t="n">
        <f aca="false">IFERROR(C15/B15-1,"-")</f>
        <v>1.5</v>
      </c>
      <c r="F15" s="19" t="n">
        <f aca="false">IFERROR(D15/C15-1,"-")</f>
        <v>0.1</v>
      </c>
    </row>
    <row r="16" customFormat="false" ht="15" hidden="false" customHeight="false" outlineLevel="0" collapsed="false">
      <c r="A16" s="21" t="s">
        <v>63</v>
      </c>
      <c r="B16" s="22" t="n">
        <v>1550</v>
      </c>
      <c r="C16" s="22" t="n">
        <v>1668</v>
      </c>
      <c r="D16" s="22" t="n">
        <v>1677</v>
      </c>
      <c r="E16" s="23" t="n">
        <f aca="false">IFERROR(C16/B16-1,"-")</f>
        <v>0.0761290322580646</v>
      </c>
      <c r="F16" s="23" t="n">
        <f aca="false">IFERROR(D16/C16-1,"-")</f>
        <v>0.00539568345323738</v>
      </c>
    </row>
    <row r="17" customFormat="false" ht="15" hidden="false" customHeight="false" outlineLevel="0" collapsed="false">
      <c r="A17" s="20" t="s">
        <v>64</v>
      </c>
      <c r="B17" s="18" t="n">
        <v>1547</v>
      </c>
      <c r="C17" s="18" t="n">
        <v>1663</v>
      </c>
      <c r="D17" s="18" t="n">
        <v>1671</v>
      </c>
      <c r="E17" s="19" t="n">
        <f aca="false">IFERROR(C17/B17-1,"-")</f>
        <v>0.074983839689722</v>
      </c>
      <c r="F17" s="19" t="n">
        <f aca="false">IFERROR(D17/C17-1,"-")</f>
        <v>0.00481058328322304</v>
      </c>
    </row>
    <row r="18" customFormat="false" ht="15" hidden="false" customHeight="false" outlineLevel="0" collapsed="false">
      <c r="A18" s="20" t="s">
        <v>65</v>
      </c>
      <c r="B18" s="18" t="n">
        <v>3</v>
      </c>
      <c r="C18" s="18" t="n">
        <v>5</v>
      </c>
      <c r="D18" s="18" t="n">
        <v>6</v>
      </c>
      <c r="E18" s="19" t="n">
        <f aca="false">IFERROR(C18/B18-1,"-")</f>
        <v>0.666666666666667</v>
      </c>
      <c r="F18" s="19" t="n">
        <f aca="false">IFERROR(D18/C18-1,"-")</f>
        <v>0.2</v>
      </c>
    </row>
    <row r="21" customFormat="false" ht="15" hidden="false" customHeight="false" outlineLevel="0" collapsed="false">
      <c r="A21" s="24" t="s">
        <v>66</v>
      </c>
    </row>
    <row r="22" customFormat="false" ht="15" hidden="false" customHeight="false" outlineLevel="0" collapsed="false">
      <c r="A22" s="6" t="s">
        <v>49</v>
      </c>
      <c r="B22" s="6" t="s">
        <v>32</v>
      </c>
      <c r="C22" s="6" t="s">
        <v>33</v>
      </c>
      <c r="D22" s="6" t="s">
        <v>34</v>
      </c>
    </row>
    <row r="23" customFormat="false" ht="15" hidden="false" customHeight="false" outlineLevel="0" collapsed="false">
      <c r="A23" s="7" t="s">
        <v>57</v>
      </c>
      <c r="B23" s="19" t="n">
        <f aca="false">B10/$B$5</f>
        <v>0.130347806319618</v>
      </c>
      <c r="C23" s="19" t="n">
        <f aca="false">C10/$C$5</f>
        <v>0.13280348104076</v>
      </c>
      <c r="D23" s="19" t="n">
        <f aca="false">D10/$D$5</f>
        <v>0.132784214337437</v>
      </c>
    </row>
    <row r="24" customFormat="false" ht="15" hidden="false" customHeight="false" outlineLevel="0" collapsed="false">
      <c r="A24" s="7" t="s">
        <v>59</v>
      </c>
      <c r="B24" s="19" t="n">
        <f aca="false">B12/$B$5</f>
        <v>0.108797453966811</v>
      </c>
      <c r="C24" s="19" t="n">
        <f aca="false">C12/$C$5</f>
        <v>0.104164816623746</v>
      </c>
      <c r="D24" s="19" t="n">
        <f aca="false">D12/$D$5</f>
        <v>0.106625633598841</v>
      </c>
    </row>
    <row r="25" customFormat="false" ht="15" hidden="false" customHeight="false" outlineLevel="0" collapsed="false">
      <c r="A25" s="7" t="s">
        <v>63</v>
      </c>
      <c r="B25" s="19" t="n">
        <f aca="false">B16/$B$5</f>
        <v>0.070470561491248</v>
      </c>
      <c r="C25" s="19" t="n">
        <f aca="false">C16/$C$5</f>
        <v>0.0740609182133026</v>
      </c>
      <c r="D25" s="19" t="n">
        <f aca="false">D16/$D$5</f>
        <v>0.0758960897900072</v>
      </c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6"/>
    </row>
  </sheetData>
  <mergeCells count="3">
    <mergeCell ref="A1:F1"/>
    <mergeCell ref="A2:F2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48" activeCellId="0" sqref="A48"/>
    </sheetView>
  </sheetViews>
  <sheetFormatPr defaultColWidth="8.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3"/>
    <col collapsed="false" customWidth="true" hidden="false" outlineLevel="0" max="6" min="5" style="1" width="12"/>
  </cols>
  <sheetData>
    <row r="1" customFormat="false" ht="17.35" hidden="false" customHeight="false" outlineLevel="0" collapsed="false">
      <c r="A1" s="11" t="s">
        <v>67</v>
      </c>
      <c r="B1" s="11"/>
      <c r="C1" s="11"/>
      <c r="D1" s="11"/>
      <c r="E1" s="11"/>
      <c r="F1" s="11"/>
    </row>
    <row r="2" customFormat="false" ht="15" hidden="false" customHeight="false" outlineLevel="0" collapsed="false">
      <c r="A2" s="17" t="s">
        <v>68</v>
      </c>
      <c r="B2" s="17"/>
      <c r="C2" s="17"/>
      <c r="D2" s="17"/>
      <c r="E2" s="17"/>
      <c r="F2" s="17"/>
    </row>
    <row r="4" customFormat="false" ht="15" hidden="false" customHeight="false" outlineLevel="0" collapsed="false">
      <c r="A4" s="6" t="s">
        <v>69</v>
      </c>
      <c r="B4" s="6" t="s">
        <v>32</v>
      </c>
      <c r="C4" s="6" t="s">
        <v>33</v>
      </c>
      <c r="D4" s="6" t="s">
        <v>34</v>
      </c>
      <c r="E4" s="25" t="s">
        <v>50</v>
      </c>
      <c r="F4" s="6" t="s">
        <v>51</v>
      </c>
    </row>
    <row r="5" customFormat="false" ht="15" hidden="false" customHeight="false" outlineLevel="0" collapsed="false">
      <c r="A5" s="20" t="s">
        <v>70</v>
      </c>
      <c r="B5" s="18" t="n">
        <v>11090</v>
      </c>
      <c r="C5" s="18" t="n">
        <v>11213</v>
      </c>
      <c r="D5" s="18" t="n">
        <v>12343</v>
      </c>
      <c r="E5" s="19" t="n">
        <f aca="false">IFERROR(C5/B5-1,'-')</f>
        <v>0.0110910730387737</v>
      </c>
      <c r="F5" s="19" t="n">
        <f aca="false">IFERROR(D5/C5-1,"-")</f>
        <v>0.100775885133327</v>
      </c>
    </row>
    <row r="6" customFormat="false" ht="15" hidden="false" customHeight="false" outlineLevel="0" collapsed="false">
      <c r="A6" s="20" t="s">
        <v>71</v>
      </c>
      <c r="B6" s="18" t="n">
        <v>906</v>
      </c>
      <c r="C6" s="18" t="n">
        <v>798</v>
      </c>
      <c r="D6" s="18" t="n">
        <v>837</v>
      </c>
      <c r="E6" s="19" t="n">
        <f aca="false">IFERROR(C6/B6-1,"-")</f>
        <v>-0.119205298013245</v>
      </c>
      <c r="F6" s="19" t="n">
        <f aca="false">IFERROR(D6/C6-1,"-")</f>
        <v>0.0488721804511278</v>
      </c>
    </row>
    <row r="7" customFormat="false" ht="15" hidden="false" customHeight="false" outlineLevel="0" collapsed="false">
      <c r="A7" s="20" t="s">
        <v>72</v>
      </c>
      <c r="B7" s="18" t="n">
        <v>876</v>
      </c>
      <c r="C7" s="18" t="n">
        <v>788</v>
      </c>
      <c r="D7" s="18" t="n">
        <v>755</v>
      </c>
      <c r="E7" s="19" t="n">
        <f aca="false">IFERROR(C7/B7-1,"-")</f>
        <v>-0.100456621004566</v>
      </c>
      <c r="F7" s="19" t="n">
        <f aca="false">IFERROR(D7/C7-1,"-")</f>
        <v>-0.0418781725888325</v>
      </c>
    </row>
    <row r="8" customFormat="false" ht="15" hidden="false" customHeight="false" outlineLevel="0" collapsed="false">
      <c r="A8" s="20" t="s">
        <v>73</v>
      </c>
      <c r="B8" s="18" t="n">
        <v>721</v>
      </c>
      <c r="C8" s="18" t="n">
        <v>783</v>
      </c>
      <c r="D8" s="18" t="n">
        <v>862</v>
      </c>
      <c r="E8" s="19" t="n">
        <f aca="false">IFERROR(C8/B8-1,"-")</f>
        <v>0.0859916782246879</v>
      </c>
      <c r="F8" s="19" t="n">
        <f aca="false">IFERROR(D8/C8-1,"-")</f>
        <v>0.100893997445721</v>
      </c>
    </row>
    <row r="9" customFormat="false" ht="15" hidden="false" customHeight="false" outlineLevel="0" collapsed="false">
      <c r="A9" s="20" t="s">
        <v>74</v>
      </c>
      <c r="B9" s="18" t="n">
        <v>708</v>
      </c>
      <c r="C9" s="18" t="n">
        <v>560</v>
      </c>
      <c r="D9" s="18" t="n">
        <v>579</v>
      </c>
      <c r="E9" s="19" t="n">
        <f aca="false">IFERROR(C9/B9-1,"-")</f>
        <v>-0.209039548022599</v>
      </c>
      <c r="F9" s="19" t="n">
        <f aca="false">IFERROR(D9/C9-1,"-")</f>
        <v>0.0339285714285715</v>
      </c>
    </row>
    <row r="10" customFormat="false" ht="15" hidden="false" customHeight="false" outlineLevel="0" collapsed="false">
      <c r="A10" s="20" t="s">
        <v>75</v>
      </c>
      <c r="B10" s="18" t="n">
        <v>836</v>
      </c>
      <c r="C10" s="18" t="n">
        <v>814</v>
      </c>
      <c r="D10" s="18" t="n">
        <v>976</v>
      </c>
      <c r="E10" s="19" t="n">
        <f aca="false">IFERROR(C10/B10-1,"-")</f>
        <v>-0.0263157894736842</v>
      </c>
      <c r="F10" s="19" t="n">
        <f aca="false">IFERROR(D10/C10-1,"-")</f>
        <v>0.199017199017199</v>
      </c>
    </row>
    <row r="11" customFormat="false" ht="15" hidden="false" customHeight="false" outlineLevel="0" collapsed="false">
      <c r="A11" s="21" t="s">
        <v>76</v>
      </c>
      <c r="B11" s="22" t="n">
        <v>15137</v>
      </c>
      <c r="C11" s="22" t="n">
        <v>14956</v>
      </c>
      <c r="D11" s="22" t="n">
        <v>16352</v>
      </c>
      <c r="E11" s="23" t="n">
        <f aca="false">IFERROR(C11/B11-1,"-")</f>
        <v>-0.011957455242122</v>
      </c>
      <c r="F11" s="23" t="n">
        <f aca="false">IFERROR(D11/C11-1,"-")</f>
        <v>0.0933404653650709</v>
      </c>
    </row>
    <row r="12" customFormat="false" ht="15" hidden="false" customHeight="false" outlineLevel="0" collapsed="false">
      <c r="A12" s="20" t="s">
        <v>77</v>
      </c>
      <c r="B12" s="18" t="n">
        <v>140</v>
      </c>
      <c r="C12" s="18" t="n">
        <v>132</v>
      </c>
      <c r="D12" s="18" t="n">
        <v>143</v>
      </c>
      <c r="E12" s="19" t="n">
        <f aca="false">IFERROR(C12/B12-1,"-")</f>
        <v>-0.0571428571428572</v>
      </c>
      <c r="F12" s="19" t="n">
        <f aca="false">IFERROR(D12/C12-1,"-")</f>
        <v>0.0833333333333333</v>
      </c>
    </row>
    <row r="13" customFormat="false" ht="15" hidden="false" customHeight="false" outlineLevel="0" collapsed="false">
      <c r="A13" s="20" t="s">
        <v>78</v>
      </c>
      <c r="B13" s="18" t="n">
        <v>1784</v>
      </c>
      <c r="C13" s="18" t="n">
        <v>1670</v>
      </c>
      <c r="D13" s="18" t="n">
        <v>1838</v>
      </c>
      <c r="E13" s="19" t="n">
        <f aca="false">IFERROR(C13/B13-1,"-")</f>
        <v>-0.0639013452914798</v>
      </c>
      <c r="F13" s="19" t="n">
        <f aca="false">IFERROR(D13/C13-1,"-")</f>
        <v>0.10059880239521</v>
      </c>
    </row>
    <row r="14" customFormat="false" ht="15" hidden="false" customHeight="false" outlineLevel="0" collapsed="false">
      <c r="A14" s="20" t="s">
        <v>79</v>
      </c>
      <c r="B14" s="18" t="n">
        <v>3329</v>
      </c>
      <c r="C14" s="18" t="n">
        <v>3286</v>
      </c>
      <c r="D14" s="18" t="n">
        <v>3238</v>
      </c>
      <c r="E14" s="19" t="n">
        <f aca="false">IFERROR(C14/B14-1,"-")</f>
        <v>-0.0129167918293782</v>
      </c>
      <c r="F14" s="19" t="n">
        <f aca="false">IFERROR(D14/C14-1,"-")</f>
        <v>-0.014607425441266</v>
      </c>
    </row>
    <row r="15" customFormat="false" ht="15" hidden="false" customHeight="false" outlineLevel="0" collapsed="false">
      <c r="A15" s="20" t="s">
        <v>80</v>
      </c>
      <c r="B15" s="18" t="n">
        <v>106</v>
      </c>
      <c r="C15" s="18" t="n">
        <v>148</v>
      </c>
      <c r="D15" s="18" t="n">
        <v>169</v>
      </c>
      <c r="E15" s="19" t="n">
        <f aca="false">IFERROR(C15/B15-1,"-")</f>
        <v>0.39622641509434</v>
      </c>
      <c r="F15" s="19" t="n">
        <f aca="false">IFERROR(D15/C15-1,"-")</f>
        <v>0.141891891891892</v>
      </c>
    </row>
    <row r="16" customFormat="false" ht="15" hidden="false" customHeight="false" outlineLevel="0" collapsed="false">
      <c r="A16" s="20" t="s">
        <v>81</v>
      </c>
      <c r="B16" s="18" t="n">
        <v>795</v>
      </c>
      <c r="C16" s="18" t="n">
        <v>811</v>
      </c>
      <c r="D16" s="18" t="n">
        <v>863</v>
      </c>
      <c r="E16" s="19" t="n">
        <f aca="false">IFERROR(C16/B16-1,"-")</f>
        <v>0.020125786163522</v>
      </c>
      <c r="F16" s="19" t="n">
        <f aca="false">IFERROR(D16/C16-1,"-")</f>
        <v>0.064118372379778</v>
      </c>
    </row>
    <row r="17" customFormat="false" ht="15" hidden="false" customHeight="false" outlineLevel="0" collapsed="false">
      <c r="A17" s="20" t="s">
        <v>82</v>
      </c>
      <c r="B17" s="18" t="n">
        <v>386</v>
      </c>
      <c r="C17" s="18" t="n">
        <v>161</v>
      </c>
      <c r="D17" s="18" t="n">
        <v>268</v>
      </c>
      <c r="E17" s="19" t="n">
        <f aca="false">IFERROR(C17/B17-1,"-")</f>
        <v>-0.582901554404145</v>
      </c>
      <c r="F17" s="19" t="n">
        <f aca="false">IFERROR(D17/C17-1,"-")</f>
        <v>0.664596273291926</v>
      </c>
      <c r="I17" s="26" t="s">
        <v>83</v>
      </c>
    </row>
    <row r="18" customFormat="false" ht="15" hidden="false" customHeight="false" outlineLevel="0" collapsed="false">
      <c r="A18" s="20" t="s">
        <v>84</v>
      </c>
      <c r="B18" s="18" t="n">
        <v>3802</v>
      </c>
      <c r="C18" s="18" t="n">
        <v>3536</v>
      </c>
      <c r="D18" s="18" t="n">
        <v>2789</v>
      </c>
      <c r="E18" s="19" t="n">
        <f aca="false">IFERROR(C18/B18-1,"-")</f>
        <v>-0.0699631772751184</v>
      </c>
      <c r="F18" s="19" t="n">
        <f aca="false">IFERROR(D18/C18-1,"-")</f>
        <v>-0.211255656108597</v>
      </c>
    </row>
    <row r="19" customFormat="false" ht="15" hidden="false" customHeight="false" outlineLevel="0" collapsed="false">
      <c r="A19" s="21" t="s">
        <v>85</v>
      </c>
      <c r="B19" s="22" t="n">
        <v>10342</v>
      </c>
      <c r="C19" s="22" t="n">
        <v>9744</v>
      </c>
      <c r="D19" s="22" t="n">
        <v>9308</v>
      </c>
      <c r="E19" s="23" t="n">
        <f aca="false">IFERROR(C19/B19-1,"-")</f>
        <v>-0.0578224714755367</v>
      </c>
      <c r="F19" s="23" t="n">
        <f aca="false">IFERROR(D19/C19-1,"-")</f>
        <v>-0.0447454844006568</v>
      </c>
    </row>
    <row r="20" customFormat="false" ht="15" hidden="false" customHeight="false" outlineLevel="0" collapsed="false">
      <c r="A20" s="21" t="s">
        <v>86</v>
      </c>
      <c r="B20" s="22" t="n">
        <v>25479</v>
      </c>
      <c r="C20" s="22" t="n">
        <v>24700</v>
      </c>
      <c r="D20" s="22" t="n">
        <v>25660</v>
      </c>
      <c r="E20" s="23" t="n">
        <f aca="false">IFERROR(C20/B20-1,"-")</f>
        <v>-0.0305741983594333</v>
      </c>
      <c r="F20" s="23" t="n">
        <f aca="false">IFERROR(D20/C20-1,"-")</f>
        <v>0.0388663967611336</v>
      </c>
    </row>
    <row r="22" customFormat="false" ht="15" hidden="false" customHeight="false" outlineLevel="0" collapsed="false">
      <c r="A22" s="6" t="s">
        <v>87</v>
      </c>
      <c r="B22" s="6" t="s">
        <v>32</v>
      </c>
      <c r="C22" s="6" t="s">
        <v>33</v>
      </c>
      <c r="D22" s="6" t="s">
        <v>34</v>
      </c>
      <c r="E22" s="6" t="s">
        <v>50</v>
      </c>
      <c r="F22" s="6" t="s">
        <v>51</v>
      </c>
    </row>
    <row r="23" customFormat="false" ht="15" hidden="false" customHeight="false" outlineLevel="0" collapsed="false">
      <c r="A23" s="20" t="s">
        <v>88</v>
      </c>
      <c r="B23" s="18" t="n">
        <v>1389</v>
      </c>
      <c r="C23" s="18" t="n">
        <v>1381</v>
      </c>
      <c r="D23" s="18" t="n">
        <v>1371</v>
      </c>
      <c r="E23" s="19" t="n">
        <f aca="false">IFERROR(C23/B23-1,"-")</f>
        <v>-0.00575953923686101</v>
      </c>
      <c r="F23" s="19" t="n">
        <f aca="false">IFERROR(D23/C23-1,"-")</f>
        <v>-0.00724112961622014</v>
      </c>
    </row>
    <row r="24" customFormat="false" ht="15" hidden="false" customHeight="false" outlineLevel="0" collapsed="false">
      <c r="A24" s="20" t="s">
        <v>89</v>
      </c>
      <c r="B24" s="18" t="n">
        <v>3706</v>
      </c>
      <c r="C24" s="18" t="n">
        <v>3482</v>
      </c>
      <c r="D24" s="18" t="n">
        <v>3192</v>
      </c>
      <c r="E24" s="19" t="n">
        <f aca="false">IFERROR(C24/B24-1,"-")</f>
        <v>-0.0604425256341069</v>
      </c>
      <c r="F24" s="19" t="n">
        <f aca="false">IFERROR(D24/C24-1,"-")</f>
        <v>-0.0832854681217691</v>
      </c>
    </row>
    <row r="25" customFormat="false" ht="15" hidden="false" customHeight="false" outlineLevel="0" collapsed="false">
      <c r="A25" s="20" t="s">
        <v>90</v>
      </c>
      <c r="B25" s="18" t="n">
        <v>3085</v>
      </c>
      <c r="C25" s="18" t="n">
        <v>3928</v>
      </c>
      <c r="D25" s="18" t="n">
        <v>5541</v>
      </c>
      <c r="E25" s="19" t="n">
        <f aca="false">IFERROR(C25/B25-1,"-")</f>
        <v>0.273257698541329</v>
      </c>
      <c r="F25" s="19" t="n">
        <f aca="false">IFERROR(D25/C25-1,"-")</f>
        <v>0.410641547861507</v>
      </c>
    </row>
    <row r="26" customFormat="false" ht="15" hidden="false" customHeight="false" outlineLevel="0" collapsed="false">
      <c r="A26" s="20" t="s">
        <v>91</v>
      </c>
      <c r="B26" s="18" t="n">
        <v>1547</v>
      </c>
      <c r="C26" s="18" t="n">
        <v>1663</v>
      </c>
      <c r="D26" s="18" t="n">
        <v>1671</v>
      </c>
      <c r="E26" s="19" t="n">
        <f aca="false">IFERROR(C26/B26-1,"-")</f>
        <v>0.074983839689722</v>
      </c>
      <c r="F26" s="19" t="n">
        <f aca="false">IFERROR(D26/C26-1,"-")</f>
        <v>0.00481058328322304</v>
      </c>
    </row>
    <row r="27" customFormat="false" ht="15" hidden="false" customHeight="false" outlineLevel="0" collapsed="false">
      <c r="A27" s="20" t="s">
        <v>92</v>
      </c>
      <c r="B27" s="18" t="n">
        <v>9727</v>
      </c>
      <c r="C27" s="18" t="n">
        <v>10454</v>
      </c>
      <c r="D27" s="18" t="n">
        <v>11775</v>
      </c>
      <c r="E27" s="19" t="n">
        <f aca="false">IFERROR(C27/B27-1,"-")</f>
        <v>0.0747404132826155</v>
      </c>
      <c r="F27" s="19" t="n">
        <f aca="false">IFERROR(D27/C27-1,"-")</f>
        <v>0.126363114597283</v>
      </c>
    </row>
    <row r="28" customFormat="false" ht="15" hidden="false" customHeight="false" outlineLevel="0" collapsed="false">
      <c r="A28" s="20" t="s">
        <v>93</v>
      </c>
      <c r="B28" s="18" t="n">
        <v>16</v>
      </c>
      <c r="C28" s="18" t="n">
        <v>19</v>
      </c>
      <c r="D28" s="18" t="n">
        <v>22</v>
      </c>
      <c r="E28" s="19" t="n">
        <f aca="false">IFERROR(C28/B28-1,"-")</f>
        <v>0.1875</v>
      </c>
      <c r="F28" s="19" t="n">
        <f aca="false">IFERROR(D28/C28-1,"-")</f>
        <v>0.157894736842105</v>
      </c>
    </row>
    <row r="29" customFormat="false" ht="15" hidden="false" customHeight="false" outlineLevel="0" collapsed="false">
      <c r="A29" s="21" t="s">
        <v>94</v>
      </c>
      <c r="B29" s="22" t="n">
        <v>9743</v>
      </c>
      <c r="C29" s="22" t="n">
        <v>10473</v>
      </c>
      <c r="D29" s="22" t="n">
        <v>11797</v>
      </c>
      <c r="E29" s="23" t="n">
        <f aca="false">IFERROR(C29/B29-1,"-")</f>
        <v>0.0749255876013548</v>
      </c>
      <c r="F29" s="23" t="n">
        <f aca="false">IFERROR(D29/C29-1,"-")</f>
        <v>0.126420318915306</v>
      </c>
    </row>
    <row r="30" customFormat="false" ht="15" hidden="false" customHeight="false" outlineLevel="0" collapsed="false">
      <c r="A30" s="20" t="s">
        <v>95</v>
      </c>
      <c r="B30" s="18" t="n">
        <v>5655</v>
      </c>
      <c r="C30" s="18" t="n">
        <v>5071</v>
      </c>
      <c r="D30" s="18" t="n">
        <v>4281</v>
      </c>
      <c r="E30" s="19" t="n">
        <f aca="false">IFERROR(C30/B30-1,"-")</f>
        <v>-0.103271441202476</v>
      </c>
      <c r="F30" s="19" t="n">
        <f aca="false">IFERROR(D30/C30-1,"-")</f>
        <v>-0.155787813054624</v>
      </c>
    </row>
    <row r="31" customFormat="false" ht="15" hidden="false" customHeight="false" outlineLevel="0" collapsed="false">
      <c r="A31" s="20" t="s">
        <v>96</v>
      </c>
      <c r="B31" s="18" t="n">
        <v>308</v>
      </c>
      <c r="C31" s="18" t="n">
        <v>275</v>
      </c>
      <c r="D31" s="18" t="n">
        <v>267</v>
      </c>
      <c r="E31" s="19" t="n">
        <f aca="false">IFERROR(C31/B31-1,"-")</f>
        <v>-0.107142857142857</v>
      </c>
      <c r="F31" s="19" t="n">
        <f aca="false">IFERROR(D31/C31-1,"-")</f>
        <v>-0.0290909090909091</v>
      </c>
    </row>
    <row r="32" customFormat="false" ht="15" hidden="false" customHeight="false" outlineLevel="0" collapsed="false">
      <c r="A32" s="20" t="s">
        <v>97</v>
      </c>
      <c r="B32" s="18" t="n">
        <v>365</v>
      </c>
      <c r="C32" s="18" t="n">
        <v>331</v>
      </c>
      <c r="D32" s="18" t="n">
        <v>309</v>
      </c>
      <c r="E32" s="19" t="n">
        <f aca="false">IFERROR(C32/B32-1,"-")</f>
        <v>-0.0931506849315068</v>
      </c>
      <c r="F32" s="19" t="n">
        <f aca="false">IFERROR(D32/C32-1,"-")</f>
        <v>-0.0664652567975831</v>
      </c>
    </row>
    <row r="33" customFormat="false" ht="15" hidden="false" customHeight="false" outlineLevel="0" collapsed="false">
      <c r="A33" s="20" t="s">
        <v>98</v>
      </c>
      <c r="B33" s="18" t="n">
        <v>339</v>
      </c>
      <c r="C33" s="18" t="n">
        <v>327</v>
      </c>
      <c r="D33" s="18" t="n">
        <v>274</v>
      </c>
      <c r="E33" s="19" t="n">
        <f aca="false">IFERROR(C33/B33-1,"-")</f>
        <v>-0.0353982300884956</v>
      </c>
      <c r="F33" s="19" t="n">
        <f aca="false">IFERROR(D33/C33-1,"-")</f>
        <v>-0.162079510703364</v>
      </c>
    </row>
    <row r="34" customFormat="false" ht="15" hidden="false" customHeight="false" outlineLevel="0" collapsed="false">
      <c r="A34" s="20" t="s">
        <v>99</v>
      </c>
      <c r="B34" s="18" t="n">
        <v>533</v>
      </c>
      <c r="C34" s="18" t="n">
        <v>598</v>
      </c>
      <c r="D34" s="18" t="n">
        <v>671</v>
      </c>
      <c r="E34" s="19" t="n">
        <f aca="false">IFERROR(C34/B34-1,"-")</f>
        <v>0.121951219512195</v>
      </c>
      <c r="F34" s="19" t="n">
        <f aca="false">IFERROR(D34/C34-1,"-")</f>
        <v>0.122073578595318</v>
      </c>
    </row>
    <row r="35" customFormat="false" ht="15" hidden="false" customHeight="false" outlineLevel="0" collapsed="false">
      <c r="A35" s="20" t="s">
        <v>100</v>
      </c>
      <c r="B35" s="18" t="n">
        <v>471</v>
      </c>
      <c r="C35" s="18" t="n">
        <v>376</v>
      </c>
      <c r="D35" s="18" t="n">
        <v>352</v>
      </c>
      <c r="E35" s="19" t="n">
        <f aca="false">IFERROR(C35/B35-1,"-")</f>
        <v>-0.201698513800425</v>
      </c>
      <c r="F35" s="19" t="n">
        <f aca="false">IFERROR(D35/C35-1,"-")</f>
        <v>-0.0638297872340425</v>
      </c>
    </row>
    <row r="36" customFormat="false" ht="15" hidden="false" customHeight="false" outlineLevel="0" collapsed="false">
      <c r="A36" s="21" t="s">
        <v>101</v>
      </c>
      <c r="B36" s="22" t="n">
        <v>7671</v>
      </c>
      <c r="C36" s="22" t="n">
        <v>6978</v>
      </c>
      <c r="D36" s="22" t="n">
        <v>6154</v>
      </c>
      <c r="E36" s="23" t="n">
        <f aca="false">IFERROR(C36/B36-1,"-")</f>
        <v>-0.0903402424716465</v>
      </c>
      <c r="F36" s="23" t="n">
        <f aca="false">IFERROR(D36/C36-1,"-")</f>
        <v>-0.118085411292634</v>
      </c>
    </row>
    <row r="37" customFormat="false" ht="15" hidden="false" customHeight="false" outlineLevel="0" collapsed="false">
      <c r="A37" s="20" t="s">
        <v>102</v>
      </c>
      <c r="B37" s="18" t="n">
        <v>1102</v>
      </c>
      <c r="C37" s="18" t="n">
        <v>675</v>
      </c>
      <c r="D37" s="18" t="n">
        <v>863</v>
      </c>
      <c r="E37" s="19" t="n">
        <f aca="false">IFERROR(C37/B37-1,"-")</f>
        <v>-0.387477313974592</v>
      </c>
      <c r="F37" s="19" t="n">
        <f aca="false">IFERROR(D37/C37-1,"-")</f>
        <v>0.278518518518519</v>
      </c>
    </row>
    <row r="38" customFormat="false" ht="15" hidden="false" customHeight="false" outlineLevel="0" collapsed="false">
      <c r="A38" s="20" t="s">
        <v>103</v>
      </c>
      <c r="B38" s="18" t="n">
        <v>4749</v>
      </c>
      <c r="C38" s="18" t="n">
        <v>4568</v>
      </c>
      <c r="D38" s="18" t="n">
        <v>4693</v>
      </c>
      <c r="E38" s="19" t="n">
        <f aca="false">IFERROR(C38/B38-1,"-")</f>
        <v>-0.0381132870077912</v>
      </c>
      <c r="F38" s="19" t="n">
        <f aca="false">IFERROR(D38/C38-1,"-")</f>
        <v>0.0273642732049038</v>
      </c>
    </row>
    <row r="39" customFormat="false" ht="15" hidden="false" customHeight="false" outlineLevel="0" collapsed="false">
      <c r="A39" s="20" t="s">
        <v>104</v>
      </c>
      <c r="B39" s="18" t="n">
        <v>1470</v>
      </c>
      <c r="C39" s="18" t="n">
        <v>1332</v>
      </c>
      <c r="D39" s="18" t="n">
        <v>1392</v>
      </c>
      <c r="E39" s="19" t="n">
        <f aca="false">IFERROR(C39/B39-1,"-")</f>
        <v>-0.0938775510204082</v>
      </c>
      <c r="F39" s="19" t="n">
        <f aca="false">IFERROR(D39/C39-1,"-")</f>
        <v>0.045045045045045</v>
      </c>
    </row>
    <row r="40" customFormat="false" ht="15" hidden="false" customHeight="false" outlineLevel="0" collapsed="false">
      <c r="A40" s="20" t="s">
        <v>105</v>
      </c>
      <c r="B40" s="18" t="n">
        <v>103</v>
      </c>
      <c r="C40" s="18" t="n">
        <v>118</v>
      </c>
      <c r="D40" s="18" t="n">
        <v>109</v>
      </c>
      <c r="E40" s="19" t="n">
        <f aca="false">IFERROR(C40/B40-1,"-")</f>
        <v>0.145631067961165</v>
      </c>
      <c r="F40" s="19" t="n">
        <f aca="false">IFERROR(D40/C40-1,"-")</f>
        <v>-0.076271186440678</v>
      </c>
    </row>
    <row r="41" customFormat="false" ht="15" hidden="false" customHeight="false" outlineLevel="0" collapsed="false">
      <c r="A41" s="20" t="s">
        <v>106</v>
      </c>
      <c r="B41" s="18" t="n">
        <v>68</v>
      </c>
      <c r="C41" s="18" t="n">
        <v>123</v>
      </c>
      <c r="D41" s="18" t="n">
        <v>153</v>
      </c>
      <c r="E41" s="19" t="n">
        <f aca="false">IFERROR(C41/B41-1,"-")</f>
        <v>0.808823529411765</v>
      </c>
      <c r="F41" s="19" t="n">
        <f aca="false">IFERROR(D41/C41-1,"-")</f>
        <v>0.24390243902439</v>
      </c>
    </row>
    <row r="42" customFormat="false" ht="15" hidden="false" customHeight="false" outlineLevel="0" collapsed="false">
      <c r="A42" s="20" t="s">
        <v>107</v>
      </c>
      <c r="B42" s="18" t="n">
        <v>257</v>
      </c>
      <c r="C42" s="18" t="n">
        <v>251</v>
      </c>
      <c r="D42" s="18" t="n">
        <v>262</v>
      </c>
      <c r="E42" s="19" t="n">
        <f aca="false">IFERROR(C42/B42-1,"-")</f>
        <v>-0.0233463035019456</v>
      </c>
      <c r="F42" s="19" t="n">
        <f aca="false">IFERROR(D42/C42-1,"-")</f>
        <v>0.0438247011952191</v>
      </c>
    </row>
    <row r="43" customFormat="false" ht="15" hidden="false" customHeight="false" outlineLevel="0" collapsed="false">
      <c r="A43" s="20" t="s">
        <v>108</v>
      </c>
      <c r="B43" s="18" t="n">
        <v>316</v>
      </c>
      <c r="C43" s="18" t="n">
        <v>182</v>
      </c>
      <c r="D43" s="18" t="n">
        <v>237</v>
      </c>
      <c r="E43" s="19" t="n">
        <f aca="false">IFERROR(C43/B43-1,"-")</f>
        <v>-0.424050632911392</v>
      </c>
      <c r="F43" s="19" t="n">
        <f aca="false">IFERROR(D43/C43-1,"-")</f>
        <v>0.302197802197802</v>
      </c>
    </row>
    <row r="44" customFormat="false" ht="15" hidden="false" customHeight="false" outlineLevel="0" collapsed="false">
      <c r="A44" s="21" t="s">
        <v>109</v>
      </c>
      <c r="B44" s="22" t="n">
        <v>8065</v>
      </c>
      <c r="C44" s="22" t="n">
        <v>7249</v>
      </c>
      <c r="D44" s="22" t="n">
        <v>7709</v>
      </c>
      <c r="E44" s="23" t="n">
        <f aca="false">IFERROR(C44/B44-1,"-")</f>
        <v>-0.101177929324241</v>
      </c>
      <c r="F44" s="23" t="n">
        <f aca="false">IFERROR(D44/C44-1,"-")</f>
        <v>0.0634570285556628</v>
      </c>
    </row>
    <row r="45" customFormat="false" ht="15" hidden="false" customHeight="false" outlineLevel="0" collapsed="false">
      <c r="A45" s="21" t="s">
        <v>110</v>
      </c>
      <c r="B45" s="22" t="n">
        <v>25479</v>
      </c>
      <c r="C45" s="22" t="n">
        <v>24700</v>
      </c>
      <c r="D45" s="22" t="n">
        <v>25660</v>
      </c>
      <c r="E45" s="23" t="n">
        <f aca="false">IFERROR(C45/B45-1,"-")</f>
        <v>-0.0305741983594333</v>
      </c>
      <c r="F45" s="23" t="n">
        <f aca="false">IFERROR(D45/C45-1,"-")</f>
        <v>0.0388663967611336</v>
      </c>
    </row>
    <row r="47" customFormat="false" ht="15" hidden="false" customHeight="false" outlineLevel="0" collapsed="false">
      <c r="A47" s="24"/>
      <c r="B47" s="27" t="n">
        <f aca="false">B20-B45</f>
        <v>0</v>
      </c>
      <c r="C47" s="27" t="n">
        <f aca="false">C20-C45</f>
        <v>0</v>
      </c>
      <c r="D47" s="27" t="n">
        <f aca="false">D20-D45</f>
        <v>0</v>
      </c>
    </row>
    <row r="49" customFormat="false" ht="15" hidden="false" customHeight="false" outlineLevel="0" collapsed="false">
      <c r="A49" s="16" t="s">
        <v>111</v>
      </c>
      <c r="B49" s="16"/>
      <c r="C49" s="16"/>
      <c r="D49" s="16"/>
      <c r="E49" s="16"/>
      <c r="F49" s="16"/>
    </row>
  </sheetData>
  <mergeCells count="3">
    <mergeCell ref="A1:F1"/>
    <mergeCell ref="A2:F2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8" activeCellId="0" sqref="A18"/>
    </sheetView>
  </sheetViews>
  <sheetFormatPr defaultColWidth="8.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3"/>
  </cols>
  <sheetData>
    <row r="1" customFormat="false" ht="17.35" hidden="false" customHeight="false" outlineLevel="0" collapsed="false">
      <c r="A1" s="11" t="s">
        <v>112</v>
      </c>
      <c r="B1" s="11"/>
      <c r="C1" s="11"/>
      <c r="D1" s="11"/>
    </row>
    <row r="2" customFormat="false" ht="15" hidden="false" customHeight="false" outlineLevel="0" collapsed="false">
      <c r="A2" s="17" t="s">
        <v>48</v>
      </c>
      <c r="B2" s="17"/>
      <c r="C2" s="17"/>
      <c r="D2" s="17"/>
    </row>
    <row r="4" customFormat="false" ht="15" hidden="false" customHeight="false" outlineLevel="0" collapsed="false">
      <c r="A4" s="6" t="s">
        <v>49</v>
      </c>
      <c r="B4" s="6" t="s">
        <v>32</v>
      </c>
      <c r="C4" s="6" t="s">
        <v>33</v>
      </c>
      <c r="D4" s="6" t="s">
        <v>34</v>
      </c>
    </row>
    <row r="5" customFormat="false" ht="15" hidden="false" customHeight="false" outlineLevel="0" collapsed="false">
      <c r="A5" s="20" t="s">
        <v>113</v>
      </c>
      <c r="B5" s="18" t="n">
        <v>1550</v>
      </c>
      <c r="C5" s="18" t="n">
        <v>1668</v>
      </c>
      <c r="D5" s="18" t="n">
        <v>1677</v>
      </c>
    </row>
    <row r="6" customFormat="false" ht="15" hidden="false" customHeight="false" outlineLevel="0" collapsed="false">
      <c r="A6" s="20" t="s">
        <v>114</v>
      </c>
      <c r="B6" s="18" t="n">
        <v>719</v>
      </c>
      <c r="C6" s="18" t="n">
        <v>700</v>
      </c>
      <c r="D6" s="18" t="n">
        <v>683</v>
      </c>
    </row>
    <row r="7" customFormat="false" ht="15" hidden="false" customHeight="false" outlineLevel="0" collapsed="false">
      <c r="A7" s="21" t="s">
        <v>115</v>
      </c>
      <c r="B7" s="22" t="n">
        <v>2517</v>
      </c>
      <c r="C7" s="22" t="n">
        <v>2525</v>
      </c>
      <c r="D7" s="22" t="n">
        <v>2526</v>
      </c>
    </row>
    <row r="8" customFormat="false" ht="15" hidden="false" customHeight="false" outlineLevel="0" collapsed="false">
      <c r="A8" s="21" t="s">
        <v>116</v>
      </c>
      <c r="B8" s="22" t="n">
        <v>-659</v>
      </c>
      <c r="C8" s="22" t="n">
        <v>-383</v>
      </c>
      <c r="D8" s="22" t="n">
        <v>-1337</v>
      </c>
    </row>
    <row r="9" customFormat="false" ht="15" hidden="false" customHeight="false" outlineLevel="0" collapsed="false">
      <c r="A9" s="20" t="s">
        <v>117</v>
      </c>
      <c r="B9" s="18" t="n">
        <v>-283</v>
      </c>
      <c r="C9" s="18" t="n">
        <v>-254</v>
      </c>
      <c r="D9" s="18" t="n">
        <v>-310</v>
      </c>
    </row>
    <row r="10" customFormat="false" ht="15" hidden="false" customHeight="false" outlineLevel="0" collapsed="false">
      <c r="A10" s="20" t="s">
        <v>118</v>
      </c>
      <c r="B10" s="18" t="n">
        <v>-204</v>
      </c>
      <c r="C10" s="18" t="n">
        <v>-343</v>
      </c>
      <c r="D10" s="18" t="n">
        <v>-827</v>
      </c>
    </row>
    <row r="11" customFormat="false" ht="15" hidden="false" customHeight="false" outlineLevel="0" collapsed="false">
      <c r="A11" s="21" t="s">
        <v>119</v>
      </c>
      <c r="B11" s="22" t="n">
        <v>-1124</v>
      </c>
      <c r="C11" s="22" t="n">
        <v>-2305</v>
      </c>
      <c r="D11" s="22" t="n">
        <v>-2016</v>
      </c>
    </row>
    <row r="12" customFormat="false" ht="15" hidden="false" customHeight="false" outlineLevel="0" collapsed="false">
      <c r="A12" s="20" t="s">
        <v>120</v>
      </c>
      <c r="B12" s="18" t="n">
        <v>-409</v>
      </c>
      <c r="C12" s="18" t="n">
        <v>-559</v>
      </c>
      <c r="D12" s="18" t="n">
        <v>-584</v>
      </c>
    </row>
    <row r="13" customFormat="false" ht="15" hidden="false" customHeight="false" outlineLevel="0" collapsed="false">
      <c r="A13" s="21" t="s">
        <v>121</v>
      </c>
      <c r="B13" s="22" t="n">
        <v>734</v>
      </c>
      <c r="C13" s="22" t="n">
        <v>-163</v>
      </c>
      <c r="D13" s="22" t="n">
        <v>-827</v>
      </c>
    </row>
    <row r="14" customFormat="false" ht="15" hidden="false" customHeight="false" outlineLevel="0" collapsed="false">
      <c r="A14" s="21" t="s">
        <v>122</v>
      </c>
      <c r="B14" s="22" t="n">
        <v>2566</v>
      </c>
      <c r="C14" s="22" t="n">
        <v>2047</v>
      </c>
      <c r="D14" s="22" t="n">
        <v>2107</v>
      </c>
    </row>
    <row r="16" customFormat="false" ht="15" hidden="false" customHeight="false" outlineLevel="0" collapsed="false">
      <c r="A16" s="24" t="s">
        <v>123</v>
      </c>
      <c r="B16" s="28" t="n">
        <f aca="false">'Compte de resultat'!B10+B6</f>
        <v>3586</v>
      </c>
      <c r="C16" s="28" t="n">
        <f aca="false">'Compte de resultat'!C10+C6</f>
        <v>3691</v>
      </c>
      <c r="D16" s="28" t="n">
        <f aca="false">'Compte de resultat'!D10+D6</f>
        <v>3617</v>
      </c>
    </row>
    <row r="18" customFormat="false" ht="15" hidden="false" customHeight="false" outlineLevel="0" collapsed="false">
      <c r="A18" s="16"/>
      <c r="B18" s="16"/>
      <c r="C18" s="16"/>
      <c r="D18" s="16"/>
    </row>
  </sheetData>
  <mergeCells count="3">
    <mergeCell ref="A1:D1"/>
    <mergeCell ref="A2:D2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1" colorId="64" zoomScale="140" zoomScaleNormal="140" zoomScalePageLayoutView="100" workbookViewId="0">
      <selection pane="topLeft" activeCell="A32" activeCellId="0" sqref="A32"/>
    </sheetView>
  </sheetViews>
  <sheetFormatPr defaultColWidth="8.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3"/>
    <col collapsed="false" customWidth="true" hidden="false" outlineLevel="0" max="5" min="5" style="1" width="46"/>
  </cols>
  <sheetData>
    <row r="1" customFormat="false" ht="17.35" hidden="false" customHeight="false" outlineLevel="0" collapsed="false">
      <c r="A1" s="11" t="s">
        <v>124</v>
      </c>
      <c r="B1" s="11"/>
      <c r="C1" s="11"/>
      <c r="D1" s="11"/>
    </row>
    <row r="2" customFormat="false" ht="15" hidden="false" customHeight="false" outlineLevel="0" collapsed="false">
      <c r="A2" s="17" t="s">
        <v>125</v>
      </c>
      <c r="B2" s="17"/>
      <c r="C2" s="17"/>
      <c r="D2" s="17"/>
    </row>
    <row r="4" customFormat="false" ht="15" hidden="false" customHeight="false" outlineLevel="0" collapsed="false">
      <c r="A4" s="6" t="s">
        <v>126</v>
      </c>
      <c r="B4" s="6" t="s">
        <v>32</v>
      </c>
      <c r="C4" s="6" t="s">
        <v>33</v>
      </c>
      <c r="D4" s="6" t="s">
        <v>34</v>
      </c>
      <c r="E4" s="6" t="s">
        <v>127</v>
      </c>
    </row>
    <row r="5" customFormat="false" ht="15" hidden="false" customHeight="false" outlineLevel="0" collapsed="false">
      <c r="A5" s="29" t="s">
        <v>128</v>
      </c>
      <c r="B5" s="30"/>
      <c r="C5" s="30"/>
      <c r="D5" s="30"/>
    </row>
    <row r="6" customFormat="false" ht="15" hidden="false" customHeight="false" outlineLevel="0" collapsed="false">
      <c r="A6" s="20" t="s">
        <v>57</v>
      </c>
      <c r="B6" s="13" t="n">
        <f aca="false">'Compte de resultat'!B10/'Compte de resultat'!B5</f>
        <v>0.130347806319618</v>
      </c>
      <c r="C6" s="13" t="n">
        <f aca="false">'Compte de resultat'!C10/'Compte de resultat'!C5</f>
        <v>0.13280348104076</v>
      </c>
      <c r="D6" s="13" t="n">
        <f aca="false">'Compte de resultat'!D10/'Compte de resultat'!D5</f>
        <v>0.132784214337437</v>
      </c>
      <c r="E6" s="31" t="s">
        <v>129</v>
      </c>
    </row>
    <row r="7" customFormat="false" ht="15" hidden="false" customHeight="false" outlineLevel="0" collapsed="false">
      <c r="A7" s="20" t="s">
        <v>130</v>
      </c>
      <c r="B7" s="13" t="n">
        <f aca="false">'Compte de resultat'!B16/'Compte de resultat'!B5</f>
        <v>0.070470561491248</v>
      </c>
      <c r="C7" s="13" t="n">
        <f aca="false">'Compte de resultat'!C16/'Compte de resultat'!C5</f>
        <v>0.0740609182133026</v>
      </c>
      <c r="D7" s="13" t="n">
        <f aca="false">'Compte de resultat'!D16/'Compte de resultat'!D5</f>
        <v>0.0758960897900072</v>
      </c>
      <c r="E7" s="31" t="s">
        <v>131</v>
      </c>
    </row>
    <row r="8" customFormat="false" ht="15" hidden="false" customHeight="false" outlineLevel="0" collapsed="false">
      <c r="A8" s="20" t="s">
        <v>132</v>
      </c>
      <c r="B8" s="13" t="n">
        <f aca="false">'Compte de resultat'!B17/Bilan!B27</f>
        <v>0.159041842294644</v>
      </c>
      <c r="C8" s="13" t="n">
        <f aca="false">'Compte de resultat'!C17/Bilan!C27</f>
        <v>0.159077864932083</v>
      </c>
      <c r="D8" s="13" t="n">
        <f aca="false">'Compte de resultat'!D17/Bilan!D27</f>
        <v>0.141910828025478</v>
      </c>
      <c r="E8" s="31" t="s">
        <v>133</v>
      </c>
    </row>
    <row r="9" customFormat="false" ht="15" hidden="false" customHeight="false" outlineLevel="0" collapsed="false">
      <c r="A9" s="20" t="s">
        <v>134</v>
      </c>
      <c r="B9" s="13" t="n">
        <f aca="false">'Compte de resultat'!B16/Bilan!B20</f>
        <v>0.0608344126535578</v>
      </c>
      <c r="C9" s="13" t="n">
        <f aca="false">'Compte de resultat'!C16/Bilan!C20</f>
        <v>0.0675303643724696</v>
      </c>
      <c r="D9" s="13" t="n">
        <f aca="false">'Compte de resultat'!D16/Bilan!D20</f>
        <v>0.0653546375681995</v>
      </c>
      <c r="E9" s="31" t="s">
        <v>135</v>
      </c>
    </row>
    <row r="11" customFormat="false" ht="15" hidden="false" customHeight="false" outlineLevel="0" collapsed="false">
      <c r="A11" s="29" t="s">
        <v>136</v>
      </c>
      <c r="B11" s="30"/>
      <c r="C11" s="30"/>
      <c r="D11" s="30"/>
    </row>
    <row r="12" customFormat="false" ht="15" hidden="false" customHeight="false" outlineLevel="0" collapsed="false">
      <c r="A12" s="20" t="s">
        <v>137</v>
      </c>
      <c r="B12" s="13" t="n">
        <f aca="false">Bilan!B29/Bilan!B20</f>
        <v>0.382393343537815</v>
      </c>
      <c r="C12" s="13" t="n">
        <f aca="false">Bilan!C29/Bilan!C20</f>
        <v>0.424008097165992</v>
      </c>
      <c r="D12" s="13" t="n">
        <f aca="false">Bilan!D29/Bilan!D20</f>
        <v>0.459742790335152</v>
      </c>
      <c r="E12" s="31" t="s">
        <v>138</v>
      </c>
    </row>
    <row r="13" customFormat="false" ht="15" hidden="false" customHeight="false" outlineLevel="0" collapsed="false">
      <c r="A13" s="20" t="s">
        <v>139</v>
      </c>
      <c r="B13" s="13" t="n">
        <f aca="false">'Flux de tresorerie'!B14/Bilan!B29</f>
        <v>0.263368572308324</v>
      </c>
      <c r="C13" s="13" t="n">
        <f aca="false">'Flux de tresorerie'!C14/Bilan!C29</f>
        <v>0.195454979471021</v>
      </c>
      <c r="D13" s="13" t="n">
        <f aca="false">'Flux de tresorerie'!D14/Bilan!D29</f>
        <v>0.178604730016106</v>
      </c>
      <c r="E13" s="31" t="s">
        <v>140</v>
      </c>
    </row>
    <row r="14" customFormat="false" ht="15" hidden="false" customHeight="false" outlineLevel="0" collapsed="false">
      <c r="A14" s="20" t="s">
        <v>42</v>
      </c>
      <c r="B14" s="14" t="n">
        <f aca="false">'Flux de tresorerie'!B14/'Flux de tresorerie'!B16</f>
        <v>0.715560513106525</v>
      </c>
      <c r="C14" s="14" t="n">
        <f aca="false">'Flux de tresorerie'!C14/'Flux de tresorerie'!C16</f>
        <v>0.554592251422379</v>
      </c>
      <c r="D14" s="14" t="n">
        <f aca="false">'Flux de tresorerie'!D14/'Flux de tresorerie'!D16</f>
        <v>0.582526956040918</v>
      </c>
      <c r="E14" s="31" t="s">
        <v>141</v>
      </c>
    </row>
    <row r="15" customFormat="false" ht="15" hidden="false" customHeight="false" outlineLevel="0" collapsed="false">
      <c r="A15" s="20" t="s">
        <v>41</v>
      </c>
      <c r="B15" s="12" t="n">
        <f aca="false">'Flux de tresorerie'!B14</f>
        <v>2566</v>
      </c>
      <c r="C15" s="12" t="n">
        <f aca="false">'Flux de tresorerie'!C14</f>
        <v>2047</v>
      </c>
      <c r="D15" s="12" t="n">
        <f aca="false">'Flux de tresorerie'!D14</f>
        <v>2107</v>
      </c>
      <c r="E15" s="31" t="s">
        <v>142</v>
      </c>
    </row>
    <row r="17" customFormat="false" ht="15" hidden="false" customHeight="false" outlineLevel="0" collapsed="false">
      <c r="A17" s="29" t="s">
        <v>143</v>
      </c>
      <c r="B17" s="30"/>
      <c r="C17" s="30"/>
      <c r="D17" s="30"/>
    </row>
    <row r="18" customFormat="false" ht="15" hidden="false" customHeight="false" outlineLevel="0" collapsed="false">
      <c r="A18" s="20" t="s">
        <v>144</v>
      </c>
      <c r="B18" s="14" t="n">
        <f aca="false">Bilan!B19/Bilan!B44</f>
        <v>1.28233106013639</v>
      </c>
      <c r="C18" s="14" t="n">
        <f aca="false">Bilan!C19/Bilan!C44</f>
        <v>1.34418540488343</v>
      </c>
      <c r="D18" s="14" t="n">
        <f aca="false">Bilan!D19/Bilan!D44</f>
        <v>1.20741989881956</v>
      </c>
      <c r="E18" s="31" t="s">
        <v>145</v>
      </c>
    </row>
    <row r="19" customFormat="false" ht="15" hidden="false" customHeight="false" outlineLevel="0" collapsed="false">
      <c r="A19" s="20" t="s">
        <v>146</v>
      </c>
      <c r="B19" s="12" t="n">
        <f aca="false">Bilan!B19-Bilan!B44</f>
        <v>2277</v>
      </c>
      <c r="C19" s="12" t="n">
        <f aca="false">Bilan!C19-Bilan!C44</f>
        <v>2495</v>
      </c>
      <c r="D19" s="12" t="n">
        <f aca="false">Bilan!D19-Bilan!D44</f>
        <v>1599</v>
      </c>
      <c r="E19" s="31" t="s">
        <v>147</v>
      </c>
    </row>
    <row r="21" customFormat="false" ht="15" hidden="false" customHeight="false" outlineLevel="0" collapsed="false">
      <c r="A21" s="29" t="s">
        <v>148</v>
      </c>
      <c r="B21" s="30"/>
      <c r="C21" s="30"/>
      <c r="D21" s="30"/>
    </row>
    <row r="22" customFormat="false" ht="15" hidden="false" customHeight="false" outlineLevel="0" collapsed="false">
      <c r="A22" s="20" t="s">
        <v>149</v>
      </c>
      <c r="B22" s="15" t="n">
        <f aca="false">Bilan!B7/'Compte de resultat'!B5*365</f>
        <v>14.5369402136849</v>
      </c>
      <c r="C22" s="15" t="n">
        <f aca="false">Bilan!C7/'Compte de resultat'!C5*365</f>
        <v>12.7706242784833</v>
      </c>
      <c r="D22" s="15" t="n">
        <f aca="false">Bilan!D7/'Compte de resultat'!D5*365</f>
        <v>12.4717143374366</v>
      </c>
      <c r="E22" s="31" t="s">
        <v>150</v>
      </c>
    </row>
    <row r="23" customFormat="false" ht="15" hidden="false" customHeight="false" outlineLevel="0" collapsed="false">
      <c r="A23" s="20" t="s">
        <v>151</v>
      </c>
      <c r="B23" s="15" t="n">
        <f aca="false">Bilan!B38/'Compte de resultat'!B5*365</f>
        <v>78.8081382132303</v>
      </c>
      <c r="C23" s="15" t="n">
        <f aca="false">Bilan!C38/'Compte de resultat'!C5*365</f>
        <v>74.0307255128319</v>
      </c>
      <c r="D23" s="15" t="n">
        <f aca="false">Bilan!D38/'Compte de resultat'!D5*365</f>
        <v>77.5228548153512</v>
      </c>
      <c r="E23" s="31" t="s">
        <v>152</v>
      </c>
    </row>
    <row r="25" customFormat="false" ht="15" hidden="false" customHeight="false" outlineLevel="0" collapsed="false">
      <c r="A25" s="29" t="s">
        <v>153</v>
      </c>
      <c r="B25" s="30"/>
      <c r="C25" s="30"/>
      <c r="D25" s="30"/>
    </row>
    <row r="26" customFormat="false" ht="15" hidden="false" customHeight="false" outlineLevel="0" collapsed="false">
      <c r="A26" s="20" t="s">
        <v>154</v>
      </c>
      <c r="B26" s="13" t="str">
        <f aca="false">"-"</f>
        <v>-</v>
      </c>
      <c r="C26" s="13" t="n">
        <f aca="false">'Compte de resultat'!C5/'Compte de resultat'!B5-1</f>
        <v>0.0239599909070243</v>
      </c>
      <c r="D26" s="13" t="n">
        <f aca="false">'Compte de resultat'!D5/'Compte de resultat'!C5-1</f>
        <v>-0.0189148388242607</v>
      </c>
      <c r="E26" s="31" t="s">
        <v>155</v>
      </c>
    </row>
    <row r="27" customFormat="false" ht="15" hidden="false" customHeight="false" outlineLevel="0" collapsed="false">
      <c r="A27" s="20" t="s">
        <v>156</v>
      </c>
      <c r="B27" s="13" t="n">
        <f aca="false">('Compte de resultat'!D5/'Compte de resultat'!B5)^(1/2)-1</f>
        <v>0.00229334663886038</v>
      </c>
      <c r="C27" s="13"/>
      <c r="D27" s="13"/>
      <c r="E27" s="31" t="s">
        <v>157</v>
      </c>
    </row>
    <row r="29" customFormat="false" ht="15" hidden="false" customHeight="false" outlineLevel="0" collapsed="false">
      <c r="A29" s="32"/>
      <c r="B29" s="32"/>
      <c r="C29" s="32"/>
      <c r="D29" s="32"/>
    </row>
    <row r="30" customFormat="false" ht="15" hidden="false" customHeight="false" outlineLevel="0" collapsed="false">
      <c r="E30" s="16"/>
    </row>
    <row r="32" customFormat="false" ht="15" hidden="false" customHeight="false" outlineLevel="0" collapsed="false">
      <c r="A32" s="33" t="s">
        <v>158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10726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2026-09-21T20:16:58Z</dcterms:created>
  <dc:creator>openpyxl</dc:creator>
  <dc:description/>
  <dc:language>en-US</dc:language>
  <cp:lastModifiedBy/>
  <dcterms:modified xsi:type="dcterms:W3CDTF">2026-10-26T14:45:25Z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